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folio Dashboard" sheetId="1" state="visible" r:id="rId3"/>
    <sheet name="Engagement Summary" sheetId="2" state="visible" r:id="rId4"/>
    <sheet name="Budget vs Actual" sheetId="3" state="visible" r:id="rId5"/>
    <sheet name="Sample Invoice" sheetId="4" state="visible" r:id="rId6"/>
    <sheet name="Discrepancy Repor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<sst xmlns="http://schemas.openxmlformats.org/spreadsheetml/2006/main" count="2266" uniqueCount="276">
  <si>
    <t xml:space="preserve">Portfolio Finance Dashboard</t>
  </si>
  <si>
    <t xml:space="preserve">Engagement Finance Toolkit -- synthetic data, as of 2025-08-15</t>
  </si>
  <si>
    <t xml:space="preserve">Total Portfolio Budget</t>
  </si>
  <si>
    <t xml:space="preserve">Total Actual $ to Date</t>
  </si>
  <si>
    <t xml:space="preserve">Portfolio Utilization %</t>
  </si>
  <si>
    <t xml:space="preserve">Engagements Over Budget</t>
  </si>
  <si>
    <t xml:space="preserve">Open Exceptions</t>
  </si>
  <si>
    <t xml:space="preserve">High-Severity Exceptions</t>
  </si>
  <si>
    <t xml:space="preserve">Monthly Portfolio Trend</t>
  </si>
  <si>
    <t xml:space="preserve">Month</t>
  </si>
  <si>
    <t xml:space="preserve">Budgeted Hours</t>
  </si>
  <si>
    <t xml:space="preserve">Actual Hours</t>
  </si>
  <si>
    <t xml:space="preserve">Utilization %</t>
  </si>
  <si>
    <t xml:space="preserve">Actual $ (Standard)</t>
  </si>
  <si>
    <t xml:space="preserve">Actual $ (Recorded)</t>
  </si>
  <si>
    <t xml:space="preserve">Realization %</t>
  </si>
  <si>
    <t xml:space="preserve">Open Exceptions by Severity</t>
  </si>
  <si>
    <t xml:space="preserve">Severity</t>
  </si>
  <si>
    <t xml:space="preserve">Count</t>
  </si>
  <si>
    <t xml:space="preserve">$ Impact</t>
  </si>
  <si>
    <t xml:space="preserve">High</t>
  </si>
  <si>
    <t xml:space="preserve">Medium</t>
  </si>
  <si>
    <t xml:space="preserve">Low</t>
  </si>
  <si>
    <t xml:space="preserve">Engagement Portfolio Summary</t>
  </si>
  <si>
    <t xml:space="preserve">Synthetic data, as of 2025-08-15 -- for portfolio demonstration only</t>
  </si>
  <si>
    <t xml:space="preserve">Engagement ID</t>
  </si>
  <si>
    <t xml:space="preserve">Client</t>
  </si>
  <si>
    <t xml:space="preserve">Engagement Name</t>
  </si>
  <si>
    <t xml:space="preserve">Contract Type</t>
  </si>
  <si>
    <t xml:space="preserve">Engagement Leader</t>
  </si>
  <si>
    <t xml:space="preserve">Start Date</t>
  </si>
  <si>
    <t xml:space="preserve">End Date</t>
  </si>
  <si>
    <t xml:space="preserve">Budgeted $</t>
  </si>
  <si>
    <t xml:space="preserve">Contract Ceiling $</t>
  </si>
  <si>
    <t xml:space="preserve">Change Order $</t>
  </si>
  <si>
    <t xml:space="preserve">Approved Ceiling $</t>
  </si>
  <si>
    <t xml:space="preserve">Schedule % Elapsed</t>
  </si>
  <si>
    <t xml:space="preserve">Actual Hours to Date</t>
  </si>
  <si>
    <t xml:space="preserve">Actual $ to Date</t>
  </si>
  <si>
    <t xml:space="preserve">% of Ceiling Consumed</t>
  </si>
  <si>
    <t xml:space="preserve">Budget/Schedule Variance</t>
  </si>
  <si>
    <t xml:space="preserve">Status</t>
  </si>
  <si>
    <t xml:space="preserve">Total Exception $ Impact</t>
  </si>
  <si>
    <t xml:space="preserve">Ceiling Basis $ to Date</t>
  </si>
  <si>
    <t xml:space="preserve">ENG-001</t>
  </si>
  <si>
    <t xml:space="preserve">Commonwealth Department of Transportation</t>
  </si>
  <si>
    <t xml:space="preserve">Highway Asset Management Program Support</t>
  </si>
  <si>
    <t xml:space="preserve">Fixed-Fee</t>
  </si>
  <si>
    <t xml:space="preserve">M. Alvarez</t>
  </si>
  <si>
    <t xml:space="preserve">ENG-002</t>
  </si>
  <si>
    <t xml:space="preserve">Bureau of Health &amp; Human Services</t>
  </si>
  <si>
    <t xml:space="preserve">Medicaid Eligibility System Modernization PMO</t>
  </si>
  <si>
    <t xml:space="preserve">R. Chen</t>
  </si>
  <si>
    <t xml:space="preserve">ENG-003</t>
  </si>
  <si>
    <t xml:space="preserve">Federal Logistics &amp; Readiness Agency</t>
  </si>
  <si>
    <t xml:space="preserve">Logistics Readiness ERP Modernization PMO</t>
  </si>
  <si>
    <t xml:space="preserve">Cost-Plus-Fixed-Fee</t>
  </si>
  <si>
    <t xml:space="preserve">ENG-004</t>
  </si>
  <si>
    <t xml:space="preserve">Ashford County Government</t>
  </si>
  <si>
    <t xml:space="preserve">County Financial Systems Upgrade Support</t>
  </si>
  <si>
    <t xml:space="preserve">ENG-005</t>
  </si>
  <si>
    <t xml:space="preserve">Metro Regional Transit Authority</t>
  </si>
  <si>
    <t xml:space="preserve">Capital Projects Cost Control Advisory</t>
  </si>
  <si>
    <t xml:space="preserve">ENG-006</t>
  </si>
  <si>
    <t xml:space="preserve">Capital Program Financial Advisory</t>
  </si>
  <si>
    <t xml:space="preserve">ENG-007</t>
  </si>
  <si>
    <t xml:space="preserve">Provider Payment Integrity Review</t>
  </si>
  <si>
    <t xml:space="preserve">ENG-008</t>
  </si>
  <si>
    <t xml:space="preserve">Supply Chain Cost Accounting Advisory</t>
  </si>
  <si>
    <t xml:space="preserve">Time &amp; Materials</t>
  </si>
  <si>
    <t xml:space="preserve">ENG-009</t>
  </si>
  <si>
    <t xml:space="preserve">Procurement Process Improvement Study</t>
  </si>
  <si>
    <t xml:space="preserve">D. Okoro</t>
  </si>
  <si>
    <t xml:space="preserve">ENG-010</t>
  </si>
  <si>
    <t xml:space="preserve">Fare System Financial Reconciliation Support</t>
  </si>
  <si>
    <t xml:space="preserve">S. Whitfield</t>
  </si>
  <si>
    <t xml:space="preserve">ENG-011</t>
  </si>
  <si>
    <t xml:space="preserve">Fleet Maintenance Cost Optimization Study</t>
  </si>
  <si>
    <t xml:space="preserve">J. Patel</t>
  </si>
  <si>
    <t xml:space="preserve">ENG-012</t>
  </si>
  <si>
    <t xml:space="preserve">Benefits Program Financial Audit Support</t>
  </si>
  <si>
    <t xml:space="preserve">ENG-013</t>
  </si>
  <si>
    <t xml:space="preserve">Acquisition Support Services</t>
  </si>
  <si>
    <t xml:space="preserve">ENG-014</t>
  </si>
  <si>
    <t xml:space="preserve">Budget Office Advisory Services</t>
  </si>
  <si>
    <t xml:space="preserve">ENG-015</t>
  </si>
  <si>
    <t xml:space="preserve">Transit Asset Management Program Support</t>
  </si>
  <si>
    <t xml:space="preserve">ENG-016</t>
  </si>
  <si>
    <t xml:space="preserve">Grants Compliance &amp; Reporting Support</t>
  </si>
  <si>
    <t xml:space="preserve">ENG-017</t>
  </si>
  <si>
    <t xml:space="preserve">Case Management System Implementation Support</t>
  </si>
  <si>
    <t xml:space="preserve">ENG-018</t>
  </si>
  <si>
    <t xml:space="preserve">Financial Systems Audit Readiness</t>
  </si>
  <si>
    <t xml:space="preserve">Budget vs Actual -- by Engagement, Role, Month</t>
  </si>
  <si>
    <t xml:space="preserve">Synthetic data, as of 2025-08-15</t>
  </si>
  <si>
    <t xml:space="preserve">Role</t>
  </si>
  <si>
    <t xml:space="preserve">Actual $ (Standard Rate)</t>
  </si>
  <si>
    <t xml:space="preserve">Actual $ (Recorded Rate)</t>
  </si>
  <si>
    <t xml:space="preserve">Rate Realization %</t>
  </si>
  <si>
    <t xml:space="preserve">Associate</t>
  </si>
  <si>
    <t xml:space="preserve">Consultant</t>
  </si>
  <si>
    <t xml:space="preserve">Manager</t>
  </si>
  <si>
    <t xml:space="preserve">Partner</t>
  </si>
  <si>
    <t xml:space="preserve">Meridian Advisory Partners</t>
  </si>
  <si>
    <t xml:space="preserve">1200 Market Street, Suite 900, Washington, DC 20005</t>
  </si>
  <si>
    <t xml:space="preserve">CLIENT INVOICE</t>
  </si>
  <si>
    <t xml:space="preserve">DRAFT -- pending engagement leader review</t>
  </si>
  <si>
    <t xml:space="preserve">Invoice #:</t>
  </si>
  <si>
    <t xml:space="preserve">INV-ENG-010-202507</t>
  </si>
  <si>
    <t xml:space="preserve">Invoice Date:</t>
  </si>
  <si>
    <t xml:space="preserve">Bill To:</t>
  </si>
  <si>
    <t xml:space="preserve">Billing Period:</t>
  </si>
  <si>
    <t xml:space="preserve">2025-07-01 to 2025-07-31</t>
  </si>
  <si>
    <t xml:space="preserve">Engagement:</t>
  </si>
  <si>
    <t xml:space="preserve">Engagement ID:</t>
  </si>
  <si>
    <t xml:space="preserve">Contract Type:</t>
  </si>
  <si>
    <t xml:space="preserve">Engagement Leader:</t>
  </si>
  <si>
    <t xml:space="preserve">Description</t>
  </si>
  <si>
    <t xml:space="preserve">Category</t>
  </si>
  <si>
    <t xml:space="preserve">Hours</t>
  </si>
  <si>
    <t xml:space="preserve">Rate</t>
  </si>
  <si>
    <t xml:space="preserve">Amount</t>
  </si>
  <si>
    <t xml:space="preserve">Professional Services -- Partner</t>
  </si>
  <si>
    <t xml:space="preserve">Labor</t>
  </si>
  <si>
    <t xml:space="preserve">Professional Services -- Manager</t>
  </si>
  <si>
    <t xml:space="preserve">Professional Services -- Consultant</t>
  </si>
  <si>
    <t xml:space="preserve">Professional Services -- Associate</t>
  </si>
  <si>
    <t xml:space="preserve">Reimbursable Expenses -- Ground Transport</t>
  </si>
  <si>
    <t xml:space="preserve">Expense</t>
  </si>
  <si>
    <t xml:space="preserve">Subtotal -- Labor</t>
  </si>
  <si>
    <t xml:space="preserve">Subtotal -- Expenses</t>
  </si>
  <si>
    <t xml:space="preserve">TOTAL AMOUNT DUE</t>
  </si>
  <si>
    <t xml:space="preserve">This draft invoice reflects hours and expenses recorded as approved and correctly coded in the firm's timekeeping system as of the billing period close. Every line item traces back to specific timesheet/expense records; see reconcile_invoice_to_source() in invoicing.py.</t>
  </si>
  <si>
    <t xml:space="preserve">Discrepancy &amp; Exception Report</t>
  </si>
  <si>
    <t xml:space="preserve">Prioritized by severity, then dollar impact -- as of 2025-08-15. Synthetic data for demonstration only.</t>
  </si>
  <si>
    <t xml:space="preserve">Discrepancy ID</t>
  </si>
  <si>
    <t xml:space="preserve">Dollar Impact</t>
  </si>
  <si>
    <t xml:space="preserve">Recommended Action</t>
  </si>
  <si>
    <t xml:space="preserve">Detected Date</t>
  </si>
  <si>
    <t xml:space="preserve">Escalation Summary by Engagement Leader</t>
  </si>
  <si>
    <t xml:space="preserve">DQ-UNBILL-ENG-009</t>
  </si>
  <si>
    <t xml:space="preserve">Unbilled Time Aging</t>
  </si>
  <si>
    <t xml:space="preserve">$79,722.00 of approved, billable time (369.2 hrs) has not been invoiced, oldest entry 106 days old.</t>
  </si>
  <si>
    <t xml:space="preserve">Include in next billing cycle; if a prior invoice run missed this work, investigate why.</t>
  </si>
  <si>
    <t xml:space="preserve">Leader</t>
  </si>
  <si>
    <t xml:space="preserve">Total $ Impact</t>
  </si>
  <si>
    <t xml:space="preserve">Engagements Affected</t>
  </si>
  <si>
    <t xml:space="preserve">DQ-UNBILL-ENG-018</t>
  </si>
  <si>
    <t xml:space="preserve">$20,410.50 of approved, billable time (95.2 hrs) has not been invoiced, oldest entry 73 days old.</t>
  </si>
  <si>
    <t xml:space="preserve">DQ-APPR-ENG-006</t>
  </si>
  <si>
    <t xml:space="preserve">Missing Approval</t>
  </si>
  <si>
    <t xml:space="preserve">5 time entries are unapproved, oldest 205 days past the work date (normal cycle is 14 days).</t>
  </si>
  <si>
    <t xml:space="preserve">Escalate to approving manager for immediate sign-off; time cannot be billed until approved.</t>
  </si>
  <si>
    <t xml:space="preserve">DQ-APPR-ENG-012</t>
  </si>
  <si>
    <t xml:space="preserve">6 time entries are unapproved, oldest 127 days past the work date (normal cycle is 14 days).</t>
  </si>
  <si>
    <t xml:space="preserve">DQ-APPR-ENG-010</t>
  </si>
  <si>
    <t xml:space="preserve">5 time entries are unapproved, oldest 77 days past the work date (normal cycle is 14 days).</t>
  </si>
  <si>
    <t xml:space="preserve">DQ-APPR-ENG-009</t>
  </si>
  <si>
    <t xml:space="preserve">5 time entries are unapproved, oldest 247 days past the work date (normal cycle is 14 days).</t>
  </si>
  <si>
    <t xml:space="preserve">DQ-APPR-ENG-015</t>
  </si>
  <si>
    <t xml:space="preserve">4 time entries are unapproved, oldest 200 days past the work date (normal cycle is 14 days).</t>
  </si>
  <si>
    <t xml:space="preserve">DQ-APPR-ENG-011</t>
  </si>
  <si>
    <t xml:space="preserve">4 time entries are unapproved, oldest 74 days past the work date (normal cycle is 14 days).</t>
  </si>
  <si>
    <t xml:space="preserve">DQ-APPR-ENG-003</t>
  </si>
  <si>
    <t xml:space="preserve">4 time entries are unapproved, oldest 51 days past the work date (normal cycle is 14 days).</t>
  </si>
  <si>
    <t xml:space="preserve">DQ-APPR-ENG-016</t>
  </si>
  <si>
    <t xml:space="preserve">3 time entries are unapproved, oldest 163 days past the work date (normal cycle is 14 days).</t>
  </si>
  <si>
    <t xml:space="preserve">DQ-APPR-ENG-008</t>
  </si>
  <si>
    <t xml:space="preserve">3 time entries are unapproved, oldest 86 days past the work date (normal cycle is 14 days).</t>
  </si>
  <si>
    <t xml:space="preserve">DQ-APPR-ENG-004</t>
  </si>
  <si>
    <t xml:space="preserve">2 time entries are unapproved, oldest 282 days past the work date (normal cycle is 14 days).</t>
  </si>
  <si>
    <t xml:space="preserve">DQ-APPR-ENG-001</t>
  </si>
  <si>
    <t xml:space="preserve">1 time entry is unapproved, oldest 190 days past the work date (normal cycle is 14 days).</t>
  </si>
  <si>
    <t xml:space="preserve">DQ-APPR-ENG-002</t>
  </si>
  <si>
    <t xml:space="preserve">2 time entries are unapproved, oldest 108 days past the work date (normal cycle is 14 days).</t>
  </si>
  <si>
    <t xml:space="preserve">DQ-APPR-ENG-013</t>
  </si>
  <si>
    <t xml:space="preserve">2 time entries are unapproved, oldest 74 days past the work date (normal cycle is 14 days).</t>
  </si>
  <si>
    <t xml:space="preserve">DQ-APPR-ENG-017</t>
  </si>
  <si>
    <t xml:space="preserve">2 time entries are unapproved, oldest 128 days past the work date (normal cycle is 14 days).</t>
  </si>
  <si>
    <t xml:space="preserve">DQ-APPR-ENG-014</t>
  </si>
  <si>
    <t xml:space="preserve">1 time entry is unapproved, oldest 88 days past the work date (normal cycle is 14 days).</t>
  </si>
  <si>
    <t xml:space="preserve">DQ-APPR-ENG-018</t>
  </si>
  <si>
    <t xml:space="preserve">DQ-APPR-ENG-005</t>
  </si>
  <si>
    <t xml:space="preserve">1 time entry is unapproved, oldest 52 days past the work date (normal cycle is 14 days).</t>
  </si>
  <si>
    <t xml:space="preserve">DQ-CODE-ENG-006</t>
  </si>
  <si>
    <t xml:space="preserve">Missing Task Code</t>
  </si>
  <si>
    <t xml:space="preserve">9 timesheet entries are missing a task code and cannot be routed to billing.</t>
  </si>
  <si>
    <t xml:space="preserve">Return to timekeeper for task code correction, then re-submit for approval and billing.</t>
  </si>
  <si>
    <t xml:space="preserve">DQ-CODE-ENG-009</t>
  </si>
  <si>
    <t xml:space="preserve">8 timesheet entries are missing a task code and cannot be routed to billing.</t>
  </si>
  <si>
    <t xml:space="preserve">DQ-CODE-ENG-010</t>
  </si>
  <si>
    <t xml:space="preserve">5 timesheet entries are missing a task code and cannot be routed to billing.</t>
  </si>
  <si>
    <t xml:space="preserve">DQ-CODE-ENG-014</t>
  </si>
  <si>
    <t xml:space="preserve">3 timesheet entries are missing a task code and cannot be routed to billing.</t>
  </si>
  <si>
    <t xml:space="preserve">DQ-CODE-ENG-002</t>
  </si>
  <si>
    <t xml:space="preserve">4 timesheet entries are missing a task code and cannot be routed to billing.</t>
  </si>
  <si>
    <t xml:space="preserve">DQ-CODE-ENG-005</t>
  </si>
  <si>
    <t xml:space="preserve">DQ-CODE-ENG-001</t>
  </si>
  <si>
    <t xml:space="preserve">DQ-CODE-ENG-016</t>
  </si>
  <si>
    <t xml:space="preserve">DQ-RATE-ENG-011</t>
  </si>
  <si>
    <t xml:space="preserve">Rate Mismatch</t>
  </si>
  <si>
    <t xml:space="preserve">4 entries are logged at a labor rate that doesn't match the standard rate card for the recorded role (net rate variance $2,590.50).</t>
  </si>
  <si>
    <t xml:space="preserve">Confirm correct labor category with resource manager and correct the rate before invoicing.</t>
  </si>
  <si>
    <t xml:space="preserve">DQ-CODE-ENG-015</t>
  </si>
  <si>
    <t xml:space="preserve">2 timesheet entries are missing a task code and cannot be routed to billing.</t>
  </si>
  <si>
    <t xml:space="preserve">DQ-CODE-ENG-012</t>
  </si>
  <si>
    <t xml:space="preserve">DQ-CODE-ENG-013</t>
  </si>
  <si>
    <t xml:space="preserve">1 timesheet entry is missing a task code and cannot be routed to billing.</t>
  </si>
  <si>
    <t xml:space="preserve">DQ-CODE-ENG-004</t>
  </si>
  <si>
    <t xml:space="preserve">DQ-RATE-ENG-015</t>
  </si>
  <si>
    <t xml:space="preserve">3 entries are logged at a labor rate that doesn't match the standard rate card for the recorded role (net rate variance $1,717.50).</t>
  </si>
  <si>
    <t xml:space="preserve">DQ-RATE-ENG-016</t>
  </si>
  <si>
    <t xml:space="preserve">2 entries are logged at a labor rate that doesn't match the standard rate card for the recorded role (net rate variance $1,564.50).</t>
  </si>
  <si>
    <t xml:space="preserve">DQ-RATE-ENG-006</t>
  </si>
  <si>
    <t xml:space="preserve">7 entries are logged at a labor rate that doesn't match the standard rate card for the recorded role (net rate variance $-1,520.00).</t>
  </si>
  <si>
    <t xml:space="preserve">DQ-CODE-ENG-017</t>
  </si>
  <si>
    <t xml:space="preserve">DQ-RATE-ENG-017</t>
  </si>
  <si>
    <t xml:space="preserve">2 entries are logged at a labor rate that doesn't match the standard rate card for the recorded role (net rate variance $1,238.50).</t>
  </si>
  <si>
    <t xml:space="preserve">DQ-RATE-ENG-001</t>
  </si>
  <si>
    <t xml:space="preserve">3 entries are logged at a labor rate that doesn't match the standard rate card for the recorded role (net rate variance $1,206.50).</t>
  </si>
  <si>
    <t xml:space="preserve">DQ-RATE-ENG-004</t>
  </si>
  <si>
    <t xml:space="preserve">3 entries are logged at a labor rate that doesn't match the standard rate card for the recorded role (net rate variance $1,032.00).</t>
  </si>
  <si>
    <t xml:space="preserve">DQ-RATE-ENG-010</t>
  </si>
  <si>
    <t xml:space="preserve">9 entries are logged at a labor rate that doesn't match the standard rate card for the recorded role (net rate variance $885.50).</t>
  </si>
  <si>
    <t xml:space="preserve">DQ-RATE-ENG-012</t>
  </si>
  <si>
    <t xml:space="preserve">3 entries are logged at a labor rate that doesn't match the standard rate card for the recorded role (net rate variance $-880.00).</t>
  </si>
  <si>
    <t xml:space="preserve">DQ-RATE-ENG-002</t>
  </si>
  <si>
    <t xml:space="preserve">1 entry is logged at a labor rate that doesn't match the standard rate card for the recorded role (net rate variance $649.00).</t>
  </si>
  <si>
    <t xml:space="preserve">DQ-RATE-ENG-008</t>
  </si>
  <si>
    <t xml:space="preserve">1 entry is logged at a labor rate that doesn't match the standard rate card for the recorded role (net rate variance $595.00).</t>
  </si>
  <si>
    <t xml:space="preserve">DQ-CODE-ENG-008</t>
  </si>
  <si>
    <t xml:space="preserve">DQ-RATE-ENG-005</t>
  </si>
  <si>
    <t xml:space="preserve">3 entries are logged at a labor rate that doesn't match the standard rate card for the recorded role (net rate variance $440.00).</t>
  </si>
  <si>
    <t xml:space="preserve">DQ-RATE-ENG-009</t>
  </si>
  <si>
    <t xml:space="preserve">7 entries are logged at a labor rate that doesn't match the standard rate card for the recorded role (net rate variance $392.00).</t>
  </si>
  <si>
    <t xml:space="preserve">DQ-RATE-ENG-014</t>
  </si>
  <si>
    <t xml:space="preserve">1 entry is logged at a labor rate that doesn't match the standard rate card for the recorded role (net rate variance $344.50).</t>
  </si>
  <si>
    <t xml:space="preserve">DQ-NEARCEIL-ENG-010</t>
  </si>
  <si>
    <t xml:space="preserve">Approaching Budget Ceiling</t>
  </si>
  <si>
    <t xml:space="preserve">Actual spend ($529,438.00) has reached 90% of the authorized ceiling ($587,107.14).</t>
  </si>
  <si>
    <t xml:space="preserve">Monitor closely; discuss scope/change-order runway with engagement leader before ceiling is reached.</t>
  </si>
  <si>
    <t xml:space="preserve">DQ-OOP-ENG-005</t>
  </si>
  <si>
    <t xml:space="preserve">Out-of-Period Entry</t>
  </si>
  <si>
    <t xml:space="preserve">8 time entries were logged 87 days after the work date at worst (policy threshold is 21 days).</t>
  </si>
  <si>
    <t xml:space="preserve">Reinforce weekly timesheet submission policy with team; review affected months for reporting accuracy.</t>
  </si>
  <si>
    <t xml:space="preserve">DQ-OOP-ENG-009</t>
  </si>
  <si>
    <t xml:space="preserve">6 time entries were logged 66 days after the work date at worst (policy threshold is 21 days).</t>
  </si>
  <si>
    <t xml:space="preserve">DQ-OOP-ENG-011</t>
  </si>
  <si>
    <t xml:space="preserve">4 time entries were logged 80 days after the work date at worst (policy threshold is 21 days).</t>
  </si>
  <si>
    <t xml:space="preserve">DQ-OOP-ENG-010</t>
  </si>
  <si>
    <t xml:space="preserve">DQ-OOP-ENG-003</t>
  </si>
  <si>
    <t xml:space="preserve">4 time entries were logged 75 days after the work date at worst (policy threshold is 21 days).</t>
  </si>
  <si>
    <t xml:space="preserve">DQ-OOP-ENG-016</t>
  </si>
  <si>
    <t xml:space="preserve">2 time entries were logged 47 days after the work date at worst (policy threshold is 21 days).</t>
  </si>
  <si>
    <t xml:space="preserve">DQ-OOP-ENG-004</t>
  </si>
  <si>
    <t xml:space="preserve">6 time entries were logged 84 days after the work date at worst (policy threshold is 21 days).</t>
  </si>
  <si>
    <t xml:space="preserve">DQ-OOP-ENG-001</t>
  </si>
  <si>
    <t xml:space="preserve">3 time entries were logged 50 days after the work date at worst (policy threshold is 21 days).</t>
  </si>
  <si>
    <t xml:space="preserve">DQ-OOP-ENG-002</t>
  </si>
  <si>
    <t xml:space="preserve">3 time entries were logged 78 days after the work date at worst (policy threshold is 21 days).</t>
  </si>
  <si>
    <t xml:space="preserve">DQ-OOP-ENG-006</t>
  </si>
  <si>
    <t xml:space="preserve">3 time entries were logged 88 days after the work date at worst (policy threshold is 21 days).</t>
  </si>
  <si>
    <t xml:space="preserve">DQ-OOP-ENG-015</t>
  </si>
  <si>
    <t xml:space="preserve">2 time entries were logged 65 days after the work date at worst (policy threshold is 21 days).</t>
  </si>
  <si>
    <t xml:space="preserve">DQ-OOP-ENG-012</t>
  </si>
  <si>
    <t xml:space="preserve">2 time entries were logged 44 days after the work date at worst (policy threshold is 21 days).</t>
  </si>
  <si>
    <t xml:space="preserve">DQ-UNBILLEXP-ENG-018</t>
  </si>
  <si>
    <t xml:space="preserve">Unbilled Expense Aging</t>
  </si>
  <si>
    <t xml:space="preserve">$1,204.12 of approved, billable expenses have not been invoiced (oldest 73 days).</t>
  </si>
  <si>
    <t xml:space="preserve">Include in next billing cycle.</t>
  </si>
  <si>
    <t xml:space="preserve">DQ-OOP-ENG-014</t>
  </si>
  <si>
    <t xml:space="preserve">1 time entry was logged 88 days after the work date at worst (policy threshold is 21 days).</t>
  </si>
  <si>
    <t xml:space="preserve">DQ-OOP-ENG-008</t>
  </si>
  <si>
    <t xml:space="preserve">1 time entry was logged 59 days after the work date at worst (policy threshold is 21 days).</t>
  </si>
  <si>
    <t xml:space="preserve">DQ-UNBILLEXP-ENG-009</t>
  </si>
  <si>
    <t xml:space="preserve">$409.06 of approved, billable expenses have not been invoiced (oldest 99 days).</t>
  </si>
</sst>
</file>

<file path=xl/styles.xml><?xml version="1.0" encoding="utf-8"?>
<styleSheet xmlns="http://schemas.openxmlformats.org/spreadsheetml/2006/main">
  <numFmts count="9">
    <numFmt numFmtId="164" formatCode="General"/>
    <numFmt numFmtId="165" formatCode="\$#,##0"/>
    <numFmt numFmtId="166" formatCode="0.0%"/>
    <numFmt numFmtId="167" formatCode="0"/>
    <numFmt numFmtId="168" formatCode="yyyy\-mm\-dd"/>
    <numFmt numFmtId="169" formatCode="#,##0"/>
    <numFmt numFmtId="170" formatCode="General"/>
    <numFmt numFmtId="171" formatCode="0%"/>
    <numFmt numFmtId="172" formatCode="#,##0.0"/>
  </numFmts>
  <fonts count="22">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i val="true"/>
      <sz val="10"/>
      <color rgb="FF555555"/>
      <name val="Arial"/>
      <family val="0"/>
      <charset val="1"/>
    </font>
    <font>
      <sz val="9"/>
      <color rgb="FF555555"/>
      <name val="Arial"/>
      <family val="0"/>
      <charset val="1"/>
    </font>
    <font>
      <b val="true"/>
      <sz val="18"/>
      <color rgb="FF1F2A44"/>
      <name val="Arial"/>
      <family val="0"/>
      <charset val="1"/>
    </font>
    <font>
      <b val="true"/>
      <sz val="11"/>
      <color rgb="FF1F2A44"/>
      <name val="Arial"/>
      <family val="0"/>
      <charset val="1"/>
    </font>
    <font>
      <b val="true"/>
      <sz val="10"/>
      <color rgb="FFFFFFFF"/>
      <name val="Arial"/>
      <family val="0"/>
      <charset val="1"/>
    </font>
    <font>
      <sz val="10"/>
      <color rgb="FF0000FF"/>
      <name val="Arial"/>
      <family val="0"/>
      <charset val="1"/>
    </font>
    <font>
      <sz val="10"/>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6"/>
      <color rgb="FF1F2A44"/>
      <name val="Arial"/>
      <family val="0"/>
      <charset val="1"/>
    </font>
    <font>
      <b val="true"/>
      <sz val="13"/>
      <name val="Arial"/>
      <family val="0"/>
      <charset val="1"/>
    </font>
    <font>
      <i val="true"/>
      <sz val="9"/>
      <color rgb="FFB00000"/>
      <name val="Arial"/>
      <family val="0"/>
      <charset val="1"/>
    </font>
    <font>
      <b val="true"/>
      <sz val="10"/>
      <color rgb="FF1F2A44"/>
      <name val="Arial"/>
      <family val="0"/>
      <charset val="1"/>
    </font>
    <font>
      <b val="true"/>
      <sz val="10"/>
      <name val="Arial"/>
      <family val="0"/>
      <charset val="1"/>
    </font>
    <font>
      <b val="true"/>
      <sz val="12"/>
      <name val="Arial"/>
      <family val="0"/>
      <charset val="1"/>
    </font>
    <font>
      <i val="true"/>
      <sz val="8"/>
      <color rgb="FF777777"/>
      <name val="Arial"/>
      <family val="0"/>
      <charset val="1"/>
    </font>
  </fonts>
  <fills count="4">
    <fill>
      <patternFill patternType="none"/>
    </fill>
    <fill>
      <patternFill patternType="gray125"/>
    </fill>
    <fill>
      <patternFill patternType="solid">
        <fgColor rgb="FF1F2A44"/>
        <bgColor rgb="FF003366"/>
      </patternFill>
    </fill>
    <fill>
      <patternFill patternType="solid">
        <fgColor rgb="FFD9E6F5"/>
        <bgColor rgb="FFD9F2D9"/>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72"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20" fillId="3"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8C6C6"/>
        </patternFill>
      </fill>
    </dxf>
    <dxf>
      <fill>
        <patternFill>
          <bgColor rgb="FFFCE8B2"/>
        </patternFill>
      </fill>
    </dxf>
    <dxf>
      <fill>
        <patternFill>
          <bgColor rgb="FFD9E6F5"/>
        </patternFill>
      </fill>
    </dxf>
    <dxf>
      <fill>
        <patternFill>
          <bgColor rgb="FFD9F2D9"/>
        </patternFill>
      </fill>
    </dxf>
  </dxfs>
  <colors>
    <indexedColors>
      <rgbColor rgb="FF000000"/>
      <rgbColor rgb="FFFFFFFF"/>
      <rgbColor rgb="FFFF0000"/>
      <rgbColor rgb="FF00FF00"/>
      <rgbColor rgb="FF0000FF"/>
      <rgbColor rgb="FFFFFF00"/>
      <rgbColor rgb="FFFF00FF"/>
      <rgbColor rgb="FF00FFFF"/>
      <rgbColor rgb="FFB00000"/>
      <rgbColor rgb="FF008000"/>
      <rgbColor rgb="FF000080"/>
      <rgbColor rgb="FF808000"/>
      <rgbColor rgb="FF800080"/>
      <rgbColor rgb="FF008080"/>
      <rgbColor rgb="FFC0C0C0"/>
      <rgbColor rgb="FF878787"/>
      <rgbColor rgb="FF9999FF"/>
      <rgbColor rgb="FFBE4B48"/>
      <rgbColor rgb="FFFFFFCC"/>
      <rgbColor rgb="FFD9E6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F2D9"/>
      <rgbColor rgb="FFFCE8B2"/>
      <rgbColor rgb="FF99CCFF"/>
      <rgbColor rgb="FFFF99CC"/>
      <rgbColor rgb="FFCC99FF"/>
      <rgbColor rgb="FFF8C6C6"/>
      <rgbColor rgb="FF4A7EBB"/>
      <rgbColor rgb="FF33CCCC"/>
      <rgbColor rgb="FF99CC00"/>
      <rgbColor rgb="FFFFCC00"/>
      <rgbColor rgb="FFFF9900"/>
      <rgbColor rgb="FFFF6600"/>
      <rgbColor rgb="FF777777"/>
      <rgbColor rgb="FF969696"/>
      <rgbColor rgb="FF003366"/>
      <rgbColor rgb="FF4F81BD"/>
      <rgbColor rgb="FF003300"/>
      <rgbColor rgb="FF333300"/>
      <rgbColor rgb="FF993300"/>
      <rgbColor rgb="FF993366"/>
      <rgbColor rgb="FF555555"/>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Portfolio Utilization % by Engagement</a:t>
            </a:r>
          </a:p>
        </c:rich>
      </c:tx>
      <c:overlay val="0"/>
      <c:spPr>
        <a:noFill/>
        <a:ln w="0">
          <a:noFill/>
        </a:ln>
      </c:spPr>
    </c:title>
    <c:autoTitleDeleted val="0"/>
    <c:plotArea>
      <c:barChart>
        <c:barDir val="col"/>
        <c:grouping val="clustered"/>
        <c:varyColors val="0"/>
        <c:ser>
          <c:idx val="0"/>
          <c:order val="0"/>
          <c:tx>
            <c:strRef>
              <c:f>'Engagement Summary'!P3</c:f>
              <c:strCache>
                <c:ptCount val="1"/>
                <c:pt idx="0">
                  <c:v>Utilization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'Engagement Summary'!$A$4:$A$21</c:f>
              <c:strCache>
                <c:ptCount val="18"/>
                <c:pt idx="0">
                  <c:v>ENG-001</c:v>
                </c:pt>
                <c:pt idx="1">
                  <c:v>ENG-002</c:v>
                </c:pt>
                <c:pt idx="2">
                  <c:v>ENG-003</c:v>
                </c:pt>
                <c:pt idx="3">
                  <c:v>ENG-004</c:v>
                </c:pt>
                <c:pt idx="4">
                  <c:v>ENG-005</c:v>
                </c:pt>
                <c:pt idx="5">
                  <c:v>ENG-006</c:v>
                </c:pt>
                <c:pt idx="6">
                  <c:v>ENG-007</c:v>
                </c:pt>
                <c:pt idx="7">
                  <c:v>ENG-008</c:v>
                </c:pt>
                <c:pt idx="8">
                  <c:v>ENG-009</c:v>
                </c:pt>
                <c:pt idx="9">
                  <c:v>ENG-010</c:v>
                </c:pt>
                <c:pt idx="10">
                  <c:v>ENG-011</c:v>
                </c:pt>
                <c:pt idx="11">
                  <c:v>ENG-012</c:v>
                </c:pt>
                <c:pt idx="12">
                  <c:v>ENG-013</c:v>
                </c:pt>
                <c:pt idx="13">
                  <c:v>ENG-014</c:v>
                </c:pt>
                <c:pt idx="14">
                  <c:v>ENG-015</c:v>
                </c:pt>
                <c:pt idx="15">
                  <c:v>ENG-016</c:v>
                </c:pt>
                <c:pt idx="16">
                  <c:v>ENG-017</c:v>
                </c:pt>
                <c:pt idx="17">
                  <c:v>ENG-018</c:v>
                </c:pt>
              </c:strCache>
            </c:strRef>
          </c:cat>
          <c:val>
            <c:numRef>
              <c:f>'Engagement Summary'!$P$4:$P$21</c:f>
              <c:numCache>
                <c:formatCode>0.0%</c:formatCode>
                <c:ptCount val="18"/>
                <c:pt idx="0">
                  <c:v>0.842205323193916</c:v>
                </c:pt>
                <c:pt idx="1">
                  <c:v>0.822950819672131</c:v>
                </c:pt>
                <c:pt idx="2">
                  <c:v>0.83680501174628</c:v>
                </c:pt>
                <c:pt idx="3">
                  <c:v>0.602626123013131</c:v>
                </c:pt>
                <c:pt idx="4">
                  <c:v>0.848932384341637</c:v>
                </c:pt>
                <c:pt idx="5">
                  <c:v>0.59978080857282</c:v>
                </c:pt>
                <c:pt idx="6">
                  <c:v>0.869915254237288</c:v>
                </c:pt>
                <c:pt idx="7">
                  <c:v>0.864321608040201</c:v>
                </c:pt>
                <c:pt idx="8">
                  <c:v>0.831380417335474</c:v>
                </c:pt>
                <c:pt idx="9">
                  <c:v>0.904257641921398</c:v>
                </c:pt>
                <c:pt idx="10">
                  <c:v>0.589290555806597</c:v>
                </c:pt>
                <c:pt idx="11">
                  <c:v>0.885827338129496</c:v>
                </c:pt>
                <c:pt idx="12">
                  <c:v>0.85205047318612</c:v>
                </c:pt>
                <c:pt idx="13">
                  <c:v>0.736933797909408</c:v>
                </c:pt>
                <c:pt idx="14">
                  <c:v>0.890985130111524</c:v>
                </c:pt>
                <c:pt idx="15">
                  <c:v>0.815439599714081</c:v>
                </c:pt>
                <c:pt idx="16">
                  <c:v>0.813291925465839</c:v>
                </c:pt>
                <c:pt idx="17">
                  <c:v>0.815257048092869</c:v>
                </c:pt>
              </c:numCache>
            </c:numRef>
          </c:val>
        </c:ser>
        <c:gapWidth val="150"/>
        <c:overlap val="0"/>
        <c:axId val="90266516"/>
        <c:axId val="10952827"/>
      </c:barChart>
      <c:catAx>
        <c:axId val="9026651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Engagement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952827"/>
        <c:crosses val="autoZero"/>
        <c:auto val="1"/>
        <c:lblAlgn val="ctr"/>
        <c:lblOffset val="100"/>
        <c:noMultiLvlLbl val="0"/>
      </c:catAx>
      <c:valAx>
        <c:axId val="109528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Utilization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2665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Utilization % vs. Rate Realization % -- Portfolio</a:t>
            </a:r>
          </a:p>
        </c:rich>
      </c:tx>
      <c:overlay val="0"/>
      <c:spPr>
        <a:noFill/>
        <a:ln w="0">
          <a:noFill/>
        </a:ln>
      </c:spPr>
    </c:title>
    <c:autoTitleDeleted val="0"/>
    <c:plotArea>
      <c:lineChart>
        <c:grouping val="standard"/>
        <c:varyColors val="0"/>
        <c:ser>
          <c:idx val="0"/>
          <c:order val="0"/>
          <c:tx>
            <c:strRef>
              <c:f>'Portfolio Dashboard'!D8</c:f>
              <c:strCache>
                <c:ptCount val="1"/>
                <c:pt idx="0">
                  <c:v>Utilization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'Portfolio Dashboard'!$A$9:$A$19</c:f>
              <c:strCache>
                <c:ptCount val="11"/>
                <c:pt idx="0">
                  <c:v>2024-10-01</c:v>
                </c:pt>
                <c:pt idx="1">
                  <c:v>2024-11-01</c:v>
                </c:pt>
                <c:pt idx="2">
                  <c:v>2024-12-01</c:v>
                </c:pt>
                <c:pt idx="3">
                  <c:v>2025-01-01</c:v>
                </c:pt>
                <c:pt idx="4">
                  <c:v>2025-02-01</c:v>
                </c:pt>
                <c:pt idx="5">
                  <c:v>2025-03-01</c:v>
                </c:pt>
                <c:pt idx="6">
                  <c:v>2025-04-01</c:v>
                </c:pt>
                <c:pt idx="7">
                  <c:v>2025-05-01</c:v>
                </c:pt>
                <c:pt idx="8">
                  <c:v>2025-06-01</c:v>
                </c:pt>
                <c:pt idx="9">
                  <c:v>2025-07-01</c:v>
                </c:pt>
                <c:pt idx="10">
                  <c:v>2025-08-01</c:v>
                </c:pt>
              </c:strCache>
            </c:strRef>
          </c:cat>
          <c:val>
            <c:numRef>
              <c:f>'Portfolio Dashboard'!$D$9:$D$19</c:f>
              <c:numCache>
                <c:formatCode>0.0%</c:formatCode>
                <c:ptCount val="11"/>
                <c:pt idx="0">
                  <c:v>0.762567452428287</c:v>
                </c:pt>
                <c:pt idx="1">
                  <c:v>0.861134668180708</c:v>
                </c:pt>
                <c:pt idx="2">
                  <c:v>0.9225750505843</c:v>
                </c:pt>
                <c:pt idx="3">
                  <c:v>0.951522989227331</c:v>
                </c:pt>
                <c:pt idx="4">
                  <c:v>0.988454986482983</c:v>
                </c:pt>
                <c:pt idx="5">
                  <c:v>1.05995725546372</c:v>
                </c:pt>
                <c:pt idx="6">
                  <c:v>1.12373696843892</c:v>
                </c:pt>
                <c:pt idx="7">
                  <c:v>1.20967434642391</c:v>
                </c:pt>
                <c:pt idx="8">
                  <c:v>1.43383907946251</c:v>
                </c:pt>
                <c:pt idx="9">
                  <c:v>1.429709659942</c:v>
                </c:pt>
                <c:pt idx="10">
                  <c:v>0.750491603191465</c:v>
                </c:pt>
              </c:numCache>
            </c:numRef>
          </c:val>
          <c:smooth val="1"/>
        </c:ser>
        <c:ser>
          <c:idx val="1"/>
          <c:order val="1"/>
          <c:tx>
            <c:strRef>
              <c:f>'Portfolio Dashboard'!G8</c:f>
              <c:strCache>
                <c:ptCount val="1"/>
                <c:pt idx="0">
                  <c:v>Realization %</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'Portfolio Dashboard'!$A$9:$A$19</c:f>
              <c:strCache>
                <c:ptCount val="11"/>
                <c:pt idx="0">
                  <c:v>2024-10-01</c:v>
                </c:pt>
                <c:pt idx="1">
                  <c:v>2024-11-01</c:v>
                </c:pt>
                <c:pt idx="2">
                  <c:v>2024-12-01</c:v>
                </c:pt>
                <c:pt idx="3">
                  <c:v>2025-01-01</c:v>
                </c:pt>
                <c:pt idx="4">
                  <c:v>2025-02-01</c:v>
                </c:pt>
                <c:pt idx="5">
                  <c:v>2025-03-01</c:v>
                </c:pt>
                <c:pt idx="6">
                  <c:v>2025-04-01</c:v>
                </c:pt>
                <c:pt idx="7">
                  <c:v>2025-05-01</c:v>
                </c:pt>
                <c:pt idx="8">
                  <c:v>2025-06-01</c:v>
                </c:pt>
                <c:pt idx="9">
                  <c:v>2025-07-01</c:v>
                </c:pt>
                <c:pt idx="10">
                  <c:v>2025-08-01</c:v>
                </c:pt>
              </c:strCache>
            </c:strRef>
          </c:cat>
          <c:val>
            <c:numRef>
              <c:f>'Portfolio Dashboard'!$G$9:$G$19</c:f>
              <c:numCache>
                <c:formatCode>0.0%</c:formatCode>
                <c:ptCount val="11"/>
                <c:pt idx="0">
                  <c:v>1</c:v>
                </c:pt>
                <c:pt idx="1">
                  <c:v>1.0011219558122</c:v>
                </c:pt>
                <c:pt idx="2">
                  <c:v>1.00184187260557</c:v>
                </c:pt>
                <c:pt idx="3">
                  <c:v>0.9972376764753</c:v>
                </c:pt>
                <c:pt idx="4">
                  <c:v>1.00205664423121</c:v>
                </c:pt>
                <c:pt idx="5">
                  <c:v>1.00437841822562</c:v>
                </c:pt>
                <c:pt idx="6">
                  <c:v>1.00084727432744</c:v>
                </c:pt>
                <c:pt idx="7">
                  <c:v>1.00081057517849</c:v>
                </c:pt>
                <c:pt idx="8">
                  <c:v>1.00568802534699</c:v>
                </c:pt>
                <c:pt idx="9">
                  <c:v>1.00145383337289</c:v>
                </c:pt>
                <c:pt idx="10">
                  <c:v>1</c:v>
                </c:pt>
              </c:numCache>
            </c:numRef>
          </c:val>
          <c:smooth val="1"/>
        </c:ser>
        <c:hiLowLines>
          <c:spPr>
            <a:ln w="0">
              <a:noFill/>
            </a:ln>
          </c:spPr>
        </c:hiLowLines>
        <c:marker val="0"/>
        <c:axId val="10060181"/>
        <c:axId val="26986351"/>
      </c:lineChart>
      <c:catAx>
        <c:axId val="1006018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yyyy\-mm\-dd"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986351"/>
        <c:crosses val="autoZero"/>
        <c:auto val="1"/>
        <c:lblAlgn val="ctr"/>
        <c:lblOffset val="100"/>
        <c:noMultiLvlLbl val="0"/>
      </c:catAx>
      <c:valAx>
        <c:axId val="2698635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6018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Open Exceptions by Severity</a:t>
            </a:r>
          </a:p>
        </c:rich>
      </c:tx>
      <c:overlay val="0"/>
      <c:spPr>
        <a:noFill/>
        <a:ln w="0">
          <a:noFill/>
        </a:ln>
      </c:spPr>
    </c:title>
    <c:autoTitleDeleted val="0"/>
    <c:plotArea>
      <c:barChart>
        <c:barDir val="col"/>
        <c:grouping val="clustered"/>
        <c:varyColors val="0"/>
        <c:ser>
          <c:idx val="0"/>
          <c:order val="0"/>
          <c:tx>
            <c:strRef>
              <c:f>'Portfolio Dashboard'!B22</c:f>
              <c:strCache>
                <c:ptCount val="1"/>
                <c:pt idx="0">
                  <c:v>Count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'Portfolio Dashboard'!$A$23:$A$25</c:f>
              <c:strCache>
                <c:ptCount val="3"/>
                <c:pt idx="0">
                  <c:v>High</c:v>
                </c:pt>
                <c:pt idx="1">
                  <c:v>Medium</c:v>
                </c:pt>
                <c:pt idx="2">
                  <c:v>Low</c:v>
                </c:pt>
              </c:strCache>
            </c:strRef>
          </c:cat>
          <c:val>
            <c:numRef>
              <c:f>'Portfolio Dashboard'!$B$23:$B$25</c:f>
              <c:numCache>
                <c:formatCode>General</c:formatCode>
                <c:ptCount val="3"/>
                <c:pt idx="0">
                  <c:v>19</c:v>
                </c:pt>
                <c:pt idx="1">
                  <c:v>28</c:v>
                </c:pt>
                <c:pt idx="2">
                  <c:v>17</c:v>
                </c:pt>
              </c:numCache>
            </c:numRef>
          </c:val>
        </c:ser>
        <c:gapWidth val="150"/>
        <c:overlap val="0"/>
        <c:axId val="86867025"/>
        <c:axId val="1212744"/>
      </c:barChart>
      <c:catAx>
        <c:axId val="868670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12744"/>
        <c:crosses val="autoZero"/>
        <c:auto val="1"/>
        <c:lblAlgn val="ctr"/>
        <c:lblOffset val="100"/>
        <c:noMultiLvlLbl val="0"/>
      </c:catAx>
      <c:valAx>
        <c:axId val="121274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8670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71280</xdr:rowOff>
    </xdr:from>
    <xdr:to>
      <xdr:col>4</xdr:col>
      <xdr:colOff>1323360</xdr:colOff>
      <xdr:row>43</xdr:row>
      <xdr:rowOff>72360</xdr:rowOff>
    </xdr:to>
    <xdr:graphicFrame>
      <xdr:nvGraphicFramePr>
        <xdr:cNvPr id="0" name="Chart 1"/>
        <xdr:cNvGraphicFramePr/>
      </xdr:nvGraphicFramePr>
      <xdr:xfrm>
        <a:off x="0" y="5143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26</xdr:row>
      <xdr:rowOff>71280</xdr:rowOff>
    </xdr:from>
    <xdr:to>
      <xdr:col>18</xdr:col>
      <xdr:colOff>408960</xdr:colOff>
      <xdr:row>43</xdr:row>
      <xdr:rowOff>72360</xdr:rowOff>
    </xdr:to>
    <xdr:graphicFrame>
      <xdr:nvGraphicFramePr>
        <xdr:cNvPr id="1" name="Chart 2"/>
        <xdr:cNvGraphicFramePr/>
      </xdr:nvGraphicFramePr>
      <xdr:xfrm>
        <a:off x="11433240" y="514368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45</xdr:row>
      <xdr:rowOff>71280</xdr:rowOff>
    </xdr:from>
    <xdr:to>
      <xdr:col>4</xdr:col>
      <xdr:colOff>1323360</xdr:colOff>
      <xdr:row>62</xdr:row>
      <xdr:rowOff>72360</xdr:rowOff>
    </xdr:to>
    <xdr:graphicFrame>
      <xdr:nvGraphicFramePr>
        <xdr:cNvPr id="2" name="Chart 3"/>
        <xdr:cNvGraphicFramePr/>
      </xdr:nvGraphicFramePr>
      <xdr:xfrm>
        <a:off x="0" y="876312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3" min="3" style="0" width="14"/>
    <col collapsed="false" customWidth="true" hidden="false" outlineLevel="0" max="4" min="4" style="0" width="13"/>
    <col collapsed="false" customWidth="true" hidden="false" outlineLevel="0" max="6" min="5" style="0" width="16"/>
    <col collapsed="false" customWidth="true" hidden="false" outlineLevel="0" max="7" min="7" style="0" width="13"/>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D3" s="3" t="s">
        <v>3</v>
      </c>
      <c r="G3" s="3" t="s">
        <v>4</v>
      </c>
      <c r="J3" s="3" t="s">
        <v>5</v>
      </c>
      <c r="M3" s="3" t="s">
        <v>6</v>
      </c>
      <c r="P3" s="3" t="s">
        <v>7</v>
      </c>
    </row>
    <row r="4" customFormat="false" ht="22.05" hidden="false" customHeight="false" outlineLevel="0" collapsed="false">
      <c r="A4" s="4" t="n">
        <f aca="false">SUM('Engagement Summary'!I4:I21)</f>
        <v>6603130</v>
      </c>
      <c r="D4" s="4" t="n">
        <f aca="false">SUM('Engagement Summary'!O4:O21)</f>
        <v>5127914</v>
      </c>
      <c r="G4" s="5" t="n">
        <f aca="false">SUM('Engagement Summary'!N4:N21)/SUM('Engagement Summary'!H4:H21)</f>
        <v>0.776474748448902</v>
      </c>
      <c r="J4" s="6" t="n">
        <f aca="false">COUNTIF('Engagement Summary'!S4:S21,"Over Budget")</f>
        <v>0</v>
      </c>
      <c r="M4" s="6" t="n">
        <f aca="false">COUNTA('Discrepancy Report'!A4:A67)</f>
        <v>64</v>
      </c>
      <c r="P4" s="6" t="n">
        <f aca="false">COUNTIF('Discrepancy Report'!F4:F67,"High")</f>
        <v>19</v>
      </c>
    </row>
    <row r="7" customFormat="false" ht="15" hidden="false" customHeight="false" outlineLevel="0" collapsed="false">
      <c r="A7" s="7" t="s">
        <v>8</v>
      </c>
    </row>
    <row r="8" customFormat="false" ht="15" hidden="false" customHeight="false" outlineLevel="0" collapsed="false">
      <c r="A8" s="8" t="s">
        <v>9</v>
      </c>
      <c r="B8" s="8" t="s">
        <v>10</v>
      </c>
      <c r="C8" s="8" t="s">
        <v>11</v>
      </c>
      <c r="D8" s="8" t="s">
        <v>12</v>
      </c>
      <c r="E8" s="8" t="s">
        <v>13</v>
      </c>
      <c r="F8" s="8" t="s">
        <v>14</v>
      </c>
      <c r="G8" s="8" t="s">
        <v>15</v>
      </c>
    </row>
    <row r="9" customFormat="false" ht="15" hidden="false" customHeight="false" outlineLevel="0" collapsed="false">
      <c r="A9" s="9" t="n">
        <v>45566</v>
      </c>
      <c r="B9" s="10" t="n">
        <f aca="false">SUMIFS('Budget vs Actual'!$E$4:$E$515,'Budget vs Actual'!$D$4:$D$515,A9)</f>
        <v>211.26</v>
      </c>
      <c r="C9" s="10" t="n">
        <f aca="false">SUMIFS('Budget vs Actual'!$F$4:$F$515,'Budget vs Actual'!$D$4:$D$515,A9)</f>
        <v>161.1</v>
      </c>
      <c r="D9" s="11" t="n">
        <f aca="false">IF(B9=0,"",C9/B9)</f>
        <v>0.762567452428287</v>
      </c>
      <c r="E9" s="12" t="n">
        <f aca="false">SUMIFS('Budget vs Actual'!$I$4:$I$515,'Budget vs Actual'!$D$4:$D$515,A9)</f>
        <v>33665.5</v>
      </c>
      <c r="F9" s="12" t="n">
        <f aca="false">SUMIFS('Budget vs Actual'!$J$4:$J$515,'Budget vs Actual'!$D$4:$D$515,A9)</f>
        <v>33665.5</v>
      </c>
      <c r="G9" s="11" t="n">
        <f aca="false">IF(E9=0,"",F9/E9)</f>
        <v>1</v>
      </c>
    </row>
    <row r="10" customFormat="false" ht="15" hidden="false" customHeight="false" outlineLevel="0" collapsed="false">
      <c r="A10" s="9" t="n">
        <v>45597</v>
      </c>
      <c r="B10" s="10" t="n">
        <f aca="false">SUMIFS('Budget vs Actual'!$E$4:$E$515,'Budget vs Actual'!$D$4:$D$515,A10)</f>
        <v>695.71</v>
      </c>
      <c r="C10" s="10" t="n">
        <f aca="false">SUMIFS('Budget vs Actual'!$F$4:$F$515,'Budget vs Actual'!$D$4:$D$515,A10)</f>
        <v>599.1</v>
      </c>
      <c r="D10" s="11" t="n">
        <f aca="false">IF(B10=0,"",C10/B10)</f>
        <v>0.861134668180708</v>
      </c>
      <c r="E10" s="12" t="n">
        <f aca="false">SUMIFS('Budget vs Actual'!$I$4:$I$515,'Budget vs Actual'!$D$4:$D$515,A10)</f>
        <v>127456</v>
      </c>
      <c r="F10" s="12" t="n">
        <f aca="false">SUMIFS('Budget vs Actual'!$J$4:$J$515,'Budget vs Actual'!$D$4:$D$515,A10)</f>
        <v>127599</v>
      </c>
      <c r="G10" s="11" t="n">
        <f aca="false">IF(E10=0,"",F10/E10)</f>
        <v>1.0011219558122</v>
      </c>
    </row>
    <row r="11" customFormat="false" ht="15" hidden="false" customHeight="false" outlineLevel="0" collapsed="false">
      <c r="A11" s="9" t="n">
        <v>45627</v>
      </c>
      <c r="B11" s="10" t="n">
        <f aca="false">SUMIFS('Budget vs Actual'!$E$4:$E$515,'Budget vs Actual'!$D$4:$D$515,A11)</f>
        <v>1210.85</v>
      </c>
      <c r="C11" s="10" t="n">
        <f aca="false">SUMIFS('Budget vs Actual'!$F$4:$F$515,'Budget vs Actual'!$D$4:$D$515,A11)</f>
        <v>1117.1</v>
      </c>
      <c r="D11" s="11" t="n">
        <f aca="false">IF(B11=0,"",C11/B11)</f>
        <v>0.9225750505843</v>
      </c>
      <c r="E11" s="12" t="n">
        <f aca="false">SUMIFS('Budget vs Actual'!$I$4:$I$515,'Budget vs Actual'!$D$4:$D$515,A11)</f>
        <v>237530</v>
      </c>
      <c r="F11" s="12" t="n">
        <f aca="false">SUMIFS('Budget vs Actual'!$J$4:$J$515,'Budget vs Actual'!$D$4:$D$515,A11)</f>
        <v>237967.5</v>
      </c>
      <c r="G11" s="11" t="n">
        <f aca="false">IF(E11=0,"",F11/E11)</f>
        <v>1.00184187260557</v>
      </c>
    </row>
    <row r="12" customFormat="false" ht="15" hidden="false" customHeight="false" outlineLevel="0" collapsed="false">
      <c r="A12" s="9" t="n">
        <v>45658</v>
      </c>
      <c r="B12" s="10" t="n">
        <f aca="false">SUMIFS('Budget vs Actual'!$E$4:$E$515,'Budget vs Actual'!$D$4:$D$515,A12)</f>
        <v>1592.92</v>
      </c>
      <c r="C12" s="10" t="n">
        <f aca="false">SUMIFS('Budget vs Actual'!$F$4:$F$515,'Budget vs Actual'!$D$4:$D$515,A12)</f>
        <v>1515.7</v>
      </c>
      <c r="D12" s="11" t="n">
        <f aca="false">IF(B12=0,"",C12/B12)</f>
        <v>0.951522989227331</v>
      </c>
      <c r="E12" s="12" t="n">
        <f aca="false">SUMIFS('Budget vs Actual'!$I$4:$I$515,'Budget vs Actual'!$D$4:$D$515,A12)</f>
        <v>321468.5</v>
      </c>
      <c r="F12" s="12" t="n">
        <f aca="false">SUMIFS('Budget vs Actual'!$J$4:$J$515,'Budget vs Actual'!$D$4:$D$515,A12)</f>
        <v>320580.5</v>
      </c>
      <c r="G12" s="11" t="n">
        <f aca="false">IF(E12=0,"",F12/E12)</f>
        <v>0.9972376764753</v>
      </c>
    </row>
    <row r="13" customFormat="false" ht="15" hidden="false" customHeight="false" outlineLevel="0" collapsed="false">
      <c r="A13" s="9" t="n">
        <v>45689</v>
      </c>
      <c r="B13" s="10" t="n">
        <f aca="false">SUMIFS('Budget vs Actual'!$E$4:$E$515,'Budget vs Actual'!$D$4:$D$515,A13)</f>
        <v>2160.24</v>
      </c>
      <c r="C13" s="10" t="n">
        <f aca="false">SUMIFS('Budget vs Actual'!$F$4:$F$515,'Budget vs Actual'!$D$4:$D$515,A13)</f>
        <v>2135.3</v>
      </c>
      <c r="D13" s="11" t="n">
        <f aca="false">IF(B13=0,"",C13/B13)</f>
        <v>0.988454986482983</v>
      </c>
      <c r="E13" s="12" t="n">
        <f aca="false">SUMIFS('Budget vs Actual'!$I$4:$I$515,'Budget vs Actual'!$D$4:$D$515,A13)</f>
        <v>456569</v>
      </c>
      <c r="F13" s="12" t="n">
        <f aca="false">SUMIFS('Budget vs Actual'!$J$4:$J$515,'Budget vs Actual'!$D$4:$D$515,A13)</f>
        <v>457508</v>
      </c>
      <c r="G13" s="11" t="n">
        <f aca="false">IF(E13=0,"",F13/E13)</f>
        <v>1.00205664423121</v>
      </c>
    </row>
    <row r="14" customFormat="false" ht="15" hidden="false" customHeight="false" outlineLevel="0" collapsed="false">
      <c r="A14" s="9" t="n">
        <v>45717</v>
      </c>
      <c r="B14" s="10" t="n">
        <f aca="false">SUMIFS('Budget vs Actual'!$E$4:$E$515,'Budget vs Actual'!$D$4:$D$515,A14)</f>
        <v>2610.86</v>
      </c>
      <c r="C14" s="10" t="n">
        <f aca="false">SUMIFS('Budget vs Actual'!$F$4:$F$515,'Budget vs Actual'!$D$4:$D$515,A14)</f>
        <v>2767.4</v>
      </c>
      <c r="D14" s="11" t="n">
        <f aca="false">IF(B14=0,"",C14/B14)</f>
        <v>1.05995725546372</v>
      </c>
      <c r="E14" s="12" t="n">
        <f aca="false">SUMIFS('Budget vs Actual'!$I$4:$I$515,'Budget vs Actual'!$D$4:$D$515,A14)</f>
        <v>582630.5</v>
      </c>
      <c r="F14" s="12" t="n">
        <f aca="false">SUMIFS('Budget vs Actual'!$J$4:$J$515,'Budget vs Actual'!$D$4:$D$515,A14)</f>
        <v>585181.5</v>
      </c>
      <c r="G14" s="11" t="n">
        <f aca="false">IF(E14=0,"",F14/E14)</f>
        <v>1.00437841822562</v>
      </c>
    </row>
    <row r="15" customFormat="false" ht="15" hidden="false" customHeight="false" outlineLevel="0" collapsed="false">
      <c r="A15" s="9" t="n">
        <v>45748</v>
      </c>
      <c r="B15" s="10" t="n">
        <f aca="false">SUMIFS('Budget vs Actual'!$E$4:$E$515,'Budget vs Actual'!$D$4:$D$515,A15)</f>
        <v>2803.77</v>
      </c>
      <c r="C15" s="10" t="n">
        <f aca="false">SUMIFS('Budget vs Actual'!$F$4:$F$515,'Budget vs Actual'!$D$4:$D$515,A15)</f>
        <v>3150.7</v>
      </c>
      <c r="D15" s="11" t="n">
        <f aca="false">IF(B15=0,"",C15/B15)</f>
        <v>1.12373696843892</v>
      </c>
      <c r="E15" s="12" t="n">
        <f aca="false">SUMIFS('Budget vs Actual'!$I$4:$I$515,'Budget vs Actual'!$D$4:$D$515,A15)</f>
        <v>670385</v>
      </c>
      <c r="F15" s="12" t="n">
        <f aca="false">SUMIFS('Budget vs Actual'!$J$4:$J$515,'Budget vs Actual'!$D$4:$D$515,A15)</f>
        <v>670953</v>
      </c>
      <c r="G15" s="11" t="n">
        <f aca="false">IF(E15=0,"",F15/E15)</f>
        <v>1.00084727432744</v>
      </c>
    </row>
    <row r="16" customFormat="false" ht="15" hidden="false" customHeight="false" outlineLevel="0" collapsed="false">
      <c r="A16" s="9" t="n">
        <v>45778</v>
      </c>
      <c r="B16" s="10" t="n">
        <f aca="false">SUMIFS('Budget vs Actual'!$E$4:$E$515,'Budget vs Actual'!$D$4:$D$515,A16)</f>
        <v>2886.81</v>
      </c>
      <c r="C16" s="10" t="n">
        <f aca="false">SUMIFS('Budget vs Actual'!$F$4:$F$515,'Budget vs Actual'!$D$4:$D$515,A16)</f>
        <v>3492.1</v>
      </c>
      <c r="D16" s="11" t="n">
        <f aca="false">IF(B16=0,"",C16/B16)</f>
        <v>1.20967434642391</v>
      </c>
      <c r="E16" s="12" t="n">
        <f aca="false">SUMIFS('Budget vs Actual'!$I$4:$I$515,'Budget vs Actual'!$D$4:$D$515,A16)</f>
        <v>742682.5</v>
      </c>
      <c r="F16" s="12" t="n">
        <f aca="false">SUMIFS('Budget vs Actual'!$J$4:$J$515,'Budget vs Actual'!$D$4:$D$515,A16)</f>
        <v>743284.5</v>
      </c>
      <c r="G16" s="11" t="n">
        <f aca="false">IF(E16=0,"",F16/E16)</f>
        <v>1.00081057517849</v>
      </c>
    </row>
    <row r="17" customFormat="false" ht="15" hidden="false" customHeight="false" outlineLevel="0" collapsed="false">
      <c r="A17" s="9" t="n">
        <v>45809</v>
      </c>
      <c r="B17" s="10" t="n">
        <f aca="false">SUMIFS('Budget vs Actual'!$E$4:$E$515,'Budget vs Actual'!$D$4:$D$515,A17)</f>
        <v>2766.21</v>
      </c>
      <c r="C17" s="10" t="n">
        <f aca="false">SUMIFS('Budget vs Actual'!$F$4:$F$515,'Budget vs Actual'!$D$4:$D$515,A17)</f>
        <v>3966.3</v>
      </c>
      <c r="D17" s="11" t="n">
        <f aca="false">IF(B17=0,"",C17/B17)</f>
        <v>1.43383907946251</v>
      </c>
      <c r="E17" s="12" t="n">
        <f aca="false">SUMIFS('Budget vs Actual'!$I$4:$I$515,'Budget vs Actual'!$D$4:$D$515,A17)</f>
        <v>843966</v>
      </c>
      <c r="F17" s="12" t="n">
        <f aca="false">SUMIFS('Budget vs Actual'!$J$4:$J$515,'Budget vs Actual'!$D$4:$D$515,A17)</f>
        <v>848766.5</v>
      </c>
      <c r="G17" s="11" t="n">
        <f aca="false">IF(E17=0,"",F17/E17)</f>
        <v>1.00568802534699</v>
      </c>
    </row>
    <row r="18" customFormat="false" ht="15" hidden="false" customHeight="false" outlineLevel="0" collapsed="false">
      <c r="A18" s="9" t="n">
        <v>45839</v>
      </c>
      <c r="B18" s="10" t="n">
        <f aca="false">SUMIFS('Budget vs Actual'!$E$4:$E$515,'Budget vs Actual'!$D$4:$D$515,A18)</f>
        <v>2510.16</v>
      </c>
      <c r="C18" s="10" t="n">
        <f aca="false">SUMIFS('Budget vs Actual'!$F$4:$F$515,'Budget vs Actual'!$D$4:$D$515,A18)</f>
        <v>3588.8</v>
      </c>
      <c r="D18" s="11" t="n">
        <f aca="false">IF(B18=0,"",C18/B18)</f>
        <v>1.429709659942</v>
      </c>
      <c r="E18" s="12" t="n">
        <f aca="false">SUMIFS('Budget vs Actual'!$I$4:$I$515,'Budget vs Actual'!$D$4:$D$515,A18)</f>
        <v>758340</v>
      </c>
      <c r="F18" s="12" t="n">
        <f aca="false">SUMIFS('Budget vs Actual'!$J$4:$J$515,'Budget vs Actual'!$D$4:$D$515,A18)</f>
        <v>759442.5</v>
      </c>
      <c r="G18" s="11" t="n">
        <f aca="false">IF(E18=0,"",F18/E18)</f>
        <v>1.00145383337289</v>
      </c>
    </row>
    <row r="19" customFormat="false" ht="15" hidden="false" customHeight="false" outlineLevel="0" collapsed="false">
      <c r="A19" s="9" t="n">
        <v>45870</v>
      </c>
      <c r="B19" s="10" t="n">
        <f aca="false">SUMIFS('Budget vs Actual'!$E$4:$E$515,'Budget vs Actual'!$D$4:$D$515,A19)</f>
        <v>2212.15</v>
      </c>
      <c r="C19" s="10" t="n">
        <f aca="false">SUMIFS('Budget vs Actual'!$F$4:$F$515,'Budget vs Actual'!$D$4:$D$515,A19)</f>
        <v>1660.2</v>
      </c>
      <c r="D19" s="11" t="n">
        <f aca="false">IF(B19=0,"",C19/B19)</f>
        <v>0.750491603191465</v>
      </c>
      <c r="E19" s="12" t="n">
        <f aca="false">SUMIFS('Budget vs Actual'!$I$4:$I$515,'Budget vs Actual'!$D$4:$D$515,A19)</f>
        <v>353221</v>
      </c>
      <c r="F19" s="12" t="n">
        <f aca="false">SUMIFS('Budget vs Actual'!$J$4:$J$515,'Budget vs Actual'!$D$4:$D$515,A19)</f>
        <v>353221</v>
      </c>
      <c r="G19" s="11" t="n">
        <f aca="false">IF(E19=0,"",F19/E19)</f>
        <v>1</v>
      </c>
    </row>
    <row r="21" customFormat="false" ht="15" hidden="false" customHeight="false" outlineLevel="0" collapsed="false">
      <c r="A21" s="7" t="s">
        <v>16</v>
      </c>
    </row>
    <row r="22" customFormat="false" ht="15" hidden="false" customHeight="false" outlineLevel="0" collapsed="false">
      <c r="A22" s="8" t="s">
        <v>17</v>
      </c>
      <c r="B22" s="8" t="s">
        <v>18</v>
      </c>
      <c r="C22" s="8" t="s">
        <v>19</v>
      </c>
    </row>
    <row r="23" customFormat="false" ht="15" hidden="false" customHeight="false" outlineLevel="0" collapsed="false">
      <c r="A23" s="13" t="s">
        <v>20</v>
      </c>
      <c r="B23" s="14" t="n">
        <f aca="false">COUNTIF('Discrepancy Report'!F4:F67,A23)</f>
        <v>19</v>
      </c>
      <c r="C23" s="12" t="n">
        <f aca="false">SUMIF('Discrepancy Report'!F4:F67,A23,'Discrepancy Report'!G4:G67)</f>
        <v>152639</v>
      </c>
    </row>
    <row r="24" customFormat="false" ht="15" hidden="false" customHeight="false" outlineLevel="0" collapsed="false">
      <c r="A24" s="13" t="s">
        <v>21</v>
      </c>
      <c r="B24" s="14" t="n">
        <f aca="false">COUNTIF('Discrepancy Report'!F4:F67,A24)</f>
        <v>28</v>
      </c>
      <c r="C24" s="12" t="n">
        <f aca="false">SUMIF('Discrepancy Report'!F4:F67,A24,'Discrepancy Report'!G4:G67)</f>
        <v>70151.5</v>
      </c>
    </row>
    <row r="25" customFormat="false" ht="15" hidden="false" customHeight="false" outlineLevel="0" collapsed="false">
      <c r="A25" s="13" t="s">
        <v>22</v>
      </c>
      <c r="B25" s="14" t="n">
        <f aca="false">COUNTIF('Discrepancy Report'!F4:F67,A25)</f>
        <v>17</v>
      </c>
      <c r="C25" s="12" t="n">
        <f aca="false">SUMIF('Discrepancy Report'!F4:F67,A25,'Discrepancy Report'!G4:G67)</f>
        <v>116848.32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0"/>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14"/>
    <col collapsed="false" customWidth="true" hidden="false" outlineLevel="0" max="10" min="10" style="0" width="15"/>
    <col collapsed="false" customWidth="true" hidden="false" outlineLevel="0" max="11" min="11" style="0" width="13"/>
    <col collapsed="false" customWidth="true" hidden="false" outlineLevel="0" max="12" min="12" style="0" width="15"/>
    <col collapsed="false" customWidth="true" hidden="false" outlineLevel="0" max="13" min="13" style="0" width="14"/>
    <col collapsed="false" customWidth="true" hidden="false" outlineLevel="0" max="14" min="14" style="0" width="15"/>
    <col collapsed="false" customWidth="true" hidden="false" outlineLevel="0" max="15" min="15" style="0" width="14"/>
    <col collapsed="false" customWidth="true" hidden="false" outlineLevel="0" max="16" min="16" style="0" width="12"/>
    <col collapsed="false" customWidth="true" hidden="false" outlineLevel="0" max="17" min="17" style="0" width="15"/>
    <col collapsed="false" customWidth="true" hidden="false" outlineLevel="0" max="18" min="18" style="0" width="14"/>
    <col collapsed="false" customWidth="true" hidden="false" outlineLevel="0" max="19" min="19" style="0" width="22"/>
    <col collapsed="false" customWidth="true" hidden="false" outlineLevel="0" max="20" min="20" style="0" width="12"/>
    <col collapsed="false" customWidth="true" hidden="false" outlineLevel="0" max="21" min="21" style="0" width="16"/>
    <col collapsed="false" customWidth="true" hidden="false" outlineLevel="0" max="22" min="22" style="0" width="18"/>
  </cols>
  <sheetData>
    <row r="1" customFormat="false" ht="17.35" hidden="false" customHeight="false" outlineLevel="0" collapsed="false">
      <c r="A1" s="1" t="s">
        <v>23</v>
      </c>
    </row>
    <row r="2" customFormat="false" ht="15" hidden="false" customHeight="false" outlineLevel="0" collapsed="false">
      <c r="A2" s="2" t="s">
        <v>24</v>
      </c>
    </row>
    <row r="3" customFormat="false" ht="30" hidden="false" customHeight="true" outlineLevel="0" collapsed="false">
      <c r="A3" s="15" t="s">
        <v>25</v>
      </c>
      <c r="B3" s="15" t="s">
        <v>26</v>
      </c>
      <c r="C3" s="15" t="s">
        <v>27</v>
      </c>
      <c r="D3" s="15" t="s">
        <v>28</v>
      </c>
      <c r="E3" s="15" t="s">
        <v>29</v>
      </c>
      <c r="F3" s="15" t="s">
        <v>30</v>
      </c>
      <c r="G3" s="15" t="s">
        <v>31</v>
      </c>
      <c r="H3" s="15" t="s">
        <v>10</v>
      </c>
      <c r="I3" s="15" t="s">
        <v>32</v>
      </c>
      <c r="J3" s="15" t="s">
        <v>33</v>
      </c>
      <c r="K3" s="15" t="s">
        <v>34</v>
      </c>
      <c r="L3" s="15" t="s">
        <v>35</v>
      </c>
      <c r="M3" s="15" t="s">
        <v>36</v>
      </c>
      <c r="N3" s="15" t="s">
        <v>37</v>
      </c>
      <c r="O3" s="15" t="s">
        <v>38</v>
      </c>
      <c r="P3" s="15" t="s">
        <v>12</v>
      </c>
      <c r="Q3" s="15" t="s">
        <v>39</v>
      </c>
      <c r="R3" s="15" t="s">
        <v>40</v>
      </c>
      <c r="S3" s="15" t="s">
        <v>41</v>
      </c>
      <c r="T3" s="15" t="s">
        <v>6</v>
      </c>
      <c r="U3" s="15" t="s">
        <v>42</v>
      </c>
      <c r="V3" s="15" t="s">
        <v>43</v>
      </c>
    </row>
    <row r="4" customFormat="false" ht="15" hidden="false" customHeight="false" outlineLevel="0" collapsed="false">
      <c r="A4" s="16" t="s">
        <v>44</v>
      </c>
      <c r="B4" s="16" t="s">
        <v>45</v>
      </c>
      <c r="C4" s="16" t="s">
        <v>46</v>
      </c>
      <c r="D4" s="16" t="s">
        <v>47</v>
      </c>
      <c r="E4" s="16" t="s">
        <v>48</v>
      </c>
      <c r="F4" s="17" t="n">
        <v>45588</v>
      </c>
      <c r="G4" s="17" t="n">
        <v>45795</v>
      </c>
      <c r="H4" s="18" t="n">
        <v>2104</v>
      </c>
      <c r="I4" s="19" t="n">
        <v>449785</v>
      </c>
      <c r="J4" s="19" t="n">
        <v>449785</v>
      </c>
      <c r="K4" s="19" t="n">
        <v>52794.37</v>
      </c>
      <c r="L4" s="20" t="n">
        <f aca="false">J4+K4</f>
        <v>502579.37</v>
      </c>
      <c r="M4" s="21" t="n">
        <v>1</v>
      </c>
      <c r="N4" s="22" t="n">
        <f aca="false">SUMIFS('Budget vs Actual'!$F$4:$F$515,'Budget vs Actual'!$A$4:$A$515,A4)</f>
        <v>1772</v>
      </c>
      <c r="O4" s="20" t="n">
        <f aca="false">SUMIFS('Budget vs Actual'!$I$4:$I$515,'Budget vs Actual'!$A$4:$A$515,A4)</f>
        <v>381620</v>
      </c>
      <c r="P4" s="23" t="n">
        <f aca="false">IF(H4=0,"",N4/H4)</f>
        <v>0.842205323193916</v>
      </c>
      <c r="Q4" s="23" t="n">
        <f aca="false">IF(L4=0,"",V4/L4)</f>
        <v>0.759322850836476</v>
      </c>
      <c r="R4" s="23" t="n">
        <f aca="false">P4-M4</f>
        <v>-0.157794676806084</v>
      </c>
      <c r="S4" s="24" t="str">
        <f aca="false">IF(P4&gt;1,"Over Budget",IF(R4&gt;0.15,"Trending Over Budget",IF(R4&lt;-0.15,"Behind Pace / Under-Utilized","On Track")))</f>
        <v>Behind Pace / Under-Utilized</v>
      </c>
      <c r="T4" s="25" t="n">
        <f aca="false">COUNTIF('Discrepancy Report'!$B$4:$B$67,A4)</f>
        <v>4</v>
      </c>
      <c r="U4" s="20" t="n">
        <f aca="false">SUMIF('Discrepancy Report'!$B$4:$B$67,A4,'Discrepancy Report'!$G$4:$G$67)</f>
        <v>10694.5</v>
      </c>
      <c r="V4" s="19" t="n">
        <v>381620</v>
      </c>
    </row>
    <row r="5" customFormat="false" ht="15" hidden="false" customHeight="false" outlineLevel="0" collapsed="false">
      <c r="A5" s="16" t="s">
        <v>49</v>
      </c>
      <c r="B5" s="16" t="s">
        <v>50</v>
      </c>
      <c r="C5" s="16" t="s">
        <v>51</v>
      </c>
      <c r="D5" s="16" t="s">
        <v>47</v>
      </c>
      <c r="E5" s="16" t="s">
        <v>52</v>
      </c>
      <c r="F5" s="17" t="n">
        <v>45602</v>
      </c>
      <c r="G5" s="17" t="n">
        <v>45847</v>
      </c>
      <c r="H5" s="18" t="n">
        <v>1159</v>
      </c>
      <c r="I5" s="19" t="n">
        <v>246725</v>
      </c>
      <c r="J5" s="19" t="n">
        <v>246725</v>
      </c>
      <c r="K5" s="19" t="n">
        <v>0</v>
      </c>
      <c r="L5" s="20" t="n">
        <f aca="false">J5+K5</f>
        <v>246725</v>
      </c>
      <c r="M5" s="21" t="n">
        <v>1</v>
      </c>
      <c r="N5" s="22" t="n">
        <f aca="false">SUMIFS('Budget vs Actual'!$F$4:$F$515,'Budget vs Actual'!$A$4:$A$515,A5)</f>
        <v>953.8</v>
      </c>
      <c r="O5" s="20" t="n">
        <f aca="false">SUMIFS('Budget vs Actual'!$I$4:$I$515,'Budget vs Actual'!$A$4:$A$515,A5)</f>
        <v>203218.5</v>
      </c>
      <c r="P5" s="23" t="n">
        <f aca="false">IF(H5=0,"",N5/H5)</f>
        <v>0.822950819672131</v>
      </c>
      <c r="Q5" s="23" t="n">
        <f aca="false">IF(L5=0,"",V5/L5)</f>
        <v>0.823663998378762</v>
      </c>
      <c r="R5" s="23" t="n">
        <f aca="false">P5-M5</f>
        <v>-0.177049180327869</v>
      </c>
      <c r="S5" s="24" t="str">
        <f aca="false">IF(P5&gt;1,"Over Budget",IF(R5&gt;0.15,"Trending Over Budget",IF(R5&lt;-0.15,"Behind Pace / Under-Utilized","On Track")))</f>
        <v>Behind Pace / Under-Utilized</v>
      </c>
      <c r="T5" s="25" t="n">
        <f aca="false">COUNTIF('Discrepancy Report'!$B$4:$B$67,A5)</f>
        <v>4</v>
      </c>
      <c r="U5" s="20" t="n">
        <f aca="false">SUMIF('Discrepancy Report'!$B$4:$B$67,A5,'Discrepancy Report'!$G$4:$G$67)</f>
        <v>10036.5</v>
      </c>
      <c r="V5" s="19" t="n">
        <v>203218.5</v>
      </c>
    </row>
    <row r="6" customFormat="false" ht="15" hidden="false" customHeight="false" outlineLevel="0" collapsed="false">
      <c r="A6" s="16" t="s">
        <v>53</v>
      </c>
      <c r="B6" s="16" t="s">
        <v>54</v>
      </c>
      <c r="C6" s="16" t="s">
        <v>55</v>
      </c>
      <c r="D6" s="16" t="s">
        <v>56</v>
      </c>
      <c r="E6" s="16" t="s">
        <v>48</v>
      </c>
      <c r="F6" s="17" t="n">
        <v>45701</v>
      </c>
      <c r="G6" s="17" t="n">
        <v>45952</v>
      </c>
      <c r="H6" s="18" t="n">
        <v>1277</v>
      </c>
      <c r="I6" s="19" t="n">
        <v>272510</v>
      </c>
      <c r="J6" s="19" t="n">
        <v>162229.64</v>
      </c>
      <c r="K6" s="19" t="n">
        <v>0</v>
      </c>
      <c r="L6" s="20" t="n">
        <f aca="false">J6+K6</f>
        <v>162229.64</v>
      </c>
      <c r="M6" s="21" t="n">
        <v>0.848</v>
      </c>
      <c r="N6" s="22" t="n">
        <f aca="false">SUMIFS('Budget vs Actual'!$F$4:$F$515,'Budget vs Actual'!$A$4:$A$515,A6)</f>
        <v>1068.6</v>
      </c>
      <c r="O6" s="20" t="n">
        <f aca="false">SUMIFS('Budget vs Actual'!$I$4:$I$515,'Budget vs Actual'!$A$4:$A$515,A6)</f>
        <v>225681.5</v>
      </c>
      <c r="P6" s="23" t="n">
        <f aca="false">IF(H6=0,"",N6/H6)</f>
        <v>0.83680501174628</v>
      </c>
      <c r="Q6" s="23" t="n">
        <f aca="false">IF(L6=0,"",V6/L6)</f>
        <v>0.818923348409082</v>
      </c>
      <c r="R6" s="23" t="n">
        <f aca="false">P6-M6</f>
        <v>-0.0111949882537197</v>
      </c>
      <c r="S6" s="24" t="str">
        <f aca="false">IF(P6&gt;1,"Over Budget",IF(R6&gt;0.15,"Trending Over Budget",IF(R6&lt;-0.15,"Behind Pace / Under-Utilized","On Track")))</f>
        <v>On Track</v>
      </c>
      <c r="T6" s="25" t="n">
        <f aca="false">COUNTIF('Discrepancy Report'!$B$4:$B$67,A6)</f>
        <v>2</v>
      </c>
      <c r="U6" s="20" t="n">
        <f aca="false">SUMIF('Discrepancy Report'!$B$4:$B$67,A6,'Discrepancy Report'!$G$4:$G$67)</f>
        <v>8394.5</v>
      </c>
      <c r="V6" s="19" t="n">
        <v>132853.64</v>
      </c>
    </row>
    <row r="7" customFormat="false" ht="15" hidden="false" customHeight="false" outlineLevel="0" collapsed="false">
      <c r="A7" s="16" t="s">
        <v>57</v>
      </c>
      <c r="B7" s="16" t="s">
        <v>58</v>
      </c>
      <c r="C7" s="16" t="s">
        <v>59</v>
      </c>
      <c r="D7" s="16" t="s">
        <v>56</v>
      </c>
      <c r="E7" s="16" t="s">
        <v>48</v>
      </c>
      <c r="F7" s="17" t="n">
        <v>45598</v>
      </c>
      <c r="G7" s="17" t="n">
        <v>45975</v>
      </c>
      <c r="H7" s="18" t="n">
        <v>2894</v>
      </c>
      <c r="I7" s="19" t="n">
        <v>614015</v>
      </c>
      <c r="J7" s="19" t="n">
        <v>397488.71</v>
      </c>
      <c r="K7" s="19" t="n">
        <v>59655.92</v>
      </c>
      <c r="L7" s="20" t="n">
        <f aca="false">J7+K7</f>
        <v>457144.63</v>
      </c>
      <c r="M7" s="21" t="n">
        <v>0.833</v>
      </c>
      <c r="N7" s="22" t="n">
        <f aca="false">SUMIFS('Budget vs Actual'!$F$4:$F$515,'Budget vs Actual'!$A$4:$A$515,A7)</f>
        <v>1744</v>
      </c>
      <c r="O7" s="20" t="n">
        <f aca="false">SUMIFS('Budget vs Actual'!$I$4:$I$515,'Budget vs Actual'!$A$4:$A$515,A7)</f>
        <v>372266</v>
      </c>
      <c r="P7" s="23" t="n">
        <f aca="false">IF(H7=0,"",N7/H7)</f>
        <v>0.602626123013131</v>
      </c>
      <c r="Q7" s="23" t="n">
        <f aca="false">IF(L7=0,"",V7/L7)</f>
        <v>0.492780523310533</v>
      </c>
      <c r="R7" s="23" t="n">
        <f aca="false">P7-M7</f>
        <v>-0.230373876986869</v>
      </c>
      <c r="S7" s="24" t="str">
        <f aca="false">IF(P7&gt;1,"Over Budget",IF(R7&gt;0.15,"Trending Over Budget",IF(R7&lt;-0.15,"Behind Pace / Under-Utilized","On Track")))</f>
        <v>Behind Pace / Under-Utilized</v>
      </c>
      <c r="T7" s="25" t="n">
        <f aca="false">COUNTIF('Discrepancy Report'!$B$4:$B$67,A7)</f>
        <v>4</v>
      </c>
      <c r="U7" s="20" t="n">
        <f aca="false">SUMIF('Discrepancy Report'!$B$4:$B$67,A7,'Discrepancy Report'!$G$4:$G$67)</f>
        <v>9749.5</v>
      </c>
      <c r="V7" s="19" t="n">
        <v>225271.97</v>
      </c>
    </row>
    <row r="8" customFormat="false" ht="15" hidden="false" customHeight="false" outlineLevel="0" collapsed="false">
      <c r="A8" s="16" t="s">
        <v>60</v>
      </c>
      <c r="B8" s="16" t="s">
        <v>61</v>
      </c>
      <c r="C8" s="16" t="s">
        <v>62</v>
      </c>
      <c r="D8" s="16" t="s">
        <v>47</v>
      </c>
      <c r="E8" s="16" t="s">
        <v>52</v>
      </c>
      <c r="F8" s="17" t="n">
        <v>45718</v>
      </c>
      <c r="G8" s="17" t="n">
        <v>45971</v>
      </c>
      <c r="H8" s="18" t="n">
        <v>2810</v>
      </c>
      <c r="I8" s="19" t="n">
        <v>593475</v>
      </c>
      <c r="J8" s="19" t="n">
        <v>593475</v>
      </c>
      <c r="K8" s="19" t="n">
        <v>0</v>
      </c>
      <c r="L8" s="20" t="n">
        <f aca="false">J8+K8</f>
        <v>593475</v>
      </c>
      <c r="M8" s="21" t="n">
        <v>0.722</v>
      </c>
      <c r="N8" s="22" t="n">
        <f aca="false">SUMIFS('Budget vs Actual'!$F$4:$F$515,'Budget vs Actual'!$A$4:$A$515,A8)</f>
        <v>2385.5</v>
      </c>
      <c r="O8" s="20" t="n">
        <f aca="false">SUMIFS('Budget vs Actual'!$I$4:$I$515,'Budget vs Actual'!$A$4:$A$515,A8)</f>
        <v>505278</v>
      </c>
      <c r="P8" s="23" t="n">
        <f aca="false">IF(H8=0,"",N8/H8)</f>
        <v>0.848932384341637</v>
      </c>
      <c r="Q8" s="23" t="n">
        <f aca="false">IF(L8=0,"",V8/L8)</f>
        <v>0.851388853784911</v>
      </c>
      <c r="R8" s="23" t="n">
        <f aca="false">P8-M8</f>
        <v>0.126932384341637</v>
      </c>
      <c r="S8" s="24" t="str">
        <f aca="false">IF(P8&gt;1,"Over Budget",IF(R8&gt;0.15,"Trending Over Budget",IF(R8&lt;-0.15,"Behind Pace / Under-Utilized","On Track")))</f>
        <v>On Track</v>
      </c>
      <c r="T8" s="25" t="n">
        <f aca="false">COUNTIF('Discrepancy Report'!$B$4:$B$67,A8)</f>
        <v>4</v>
      </c>
      <c r="U8" s="20" t="n">
        <f aca="false">SUMIF('Discrepancy Report'!$B$4:$B$67,A8,'Discrepancy Report'!$G$4:$G$67)</f>
        <v>14848.5</v>
      </c>
      <c r="V8" s="19" t="n">
        <v>505278</v>
      </c>
    </row>
    <row r="9" customFormat="false" ht="15" hidden="false" customHeight="false" outlineLevel="0" collapsed="false">
      <c r="A9" s="16" t="s">
        <v>63</v>
      </c>
      <c r="B9" s="16" t="s">
        <v>45</v>
      </c>
      <c r="C9" s="16" t="s">
        <v>64</v>
      </c>
      <c r="D9" s="16" t="s">
        <v>56</v>
      </c>
      <c r="E9" s="16" t="s">
        <v>52</v>
      </c>
      <c r="F9" s="17" t="n">
        <v>45631</v>
      </c>
      <c r="G9" s="17" t="n">
        <v>46148</v>
      </c>
      <c r="H9" s="18" t="n">
        <v>4106</v>
      </c>
      <c r="I9" s="19" t="n">
        <v>870360</v>
      </c>
      <c r="J9" s="19" t="n">
        <v>510577.09</v>
      </c>
      <c r="K9" s="19" t="n">
        <v>0</v>
      </c>
      <c r="L9" s="20" t="n">
        <f aca="false">J9+K9</f>
        <v>510577.09</v>
      </c>
      <c r="M9" s="21" t="n">
        <v>0.5</v>
      </c>
      <c r="N9" s="22" t="n">
        <f aca="false">SUMIFS('Budget vs Actual'!$F$4:$F$515,'Budget vs Actual'!$A$4:$A$515,A9)</f>
        <v>2462.7</v>
      </c>
      <c r="O9" s="20" t="n">
        <f aca="false">SUMIFS('Budget vs Actual'!$I$4:$I$515,'Budget vs Actual'!$A$4:$A$515,A9)</f>
        <v>522527.5</v>
      </c>
      <c r="P9" s="23" t="n">
        <f aca="false">IF(H9=0,"",N9/H9)</f>
        <v>0.59978080857282</v>
      </c>
      <c r="Q9" s="23" t="n">
        <f aca="false">IF(L9=0,"",V9/L9)</f>
        <v>0.599176590551683</v>
      </c>
      <c r="R9" s="23" t="n">
        <f aca="false">P9-M9</f>
        <v>0.0997808085728202</v>
      </c>
      <c r="S9" s="24" t="str">
        <f aca="false">IF(P9&gt;1,"Over Budget",IF(R9&gt;0.15,"Trending Over Budget",IF(R9&lt;-0.15,"Behind Pace / Under-Utilized","On Track")))</f>
        <v>On Track</v>
      </c>
      <c r="T9" s="25" t="n">
        <f aca="false">COUNTIF('Discrepancy Report'!$B$4:$B$67,A9)</f>
        <v>4</v>
      </c>
      <c r="U9" s="20" t="n">
        <f aca="false">SUMIF('Discrepancy Report'!$B$4:$B$67,A9,'Discrepancy Report'!$G$4:$G$67)</f>
        <v>24633</v>
      </c>
      <c r="V9" s="19" t="n">
        <v>305925.84</v>
      </c>
    </row>
    <row r="10" customFormat="false" ht="15" hidden="false" customHeight="false" outlineLevel="0" collapsed="false">
      <c r="A10" s="16" t="s">
        <v>65</v>
      </c>
      <c r="B10" s="16" t="s">
        <v>50</v>
      </c>
      <c r="C10" s="16" t="s">
        <v>66</v>
      </c>
      <c r="D10" s="16" t="s">
        <v>47</v>
      </c>
      <c r="E10" s="16" t="s">
        <v>52</v>
      </c>
      <c r="F10" s="17" t="n">
        <v>45678</v>
      </c>
      <c r="G10" s="17" t="n">
        <v>45769</v>
      </c>
      <c r="H10" s="18" t="n">
        <v>236</v>
      </c>
      <c r="I10" s="19" t="n">
        <v>50595</v>
      </c>
      <c r="J10" s="19" t="n">
        <v>50595</v>
      </c>
      <c r="K10" s="19" t="n">
        <v>4734.19</v>
      </c>
      <c r="L10" s="20" t="n">
        <f aca="false">J10+K10</f>
        <v>55329.19</v>
      </c>
      <c r="M10" s="21" t="n">
        <v>1</v>
      </c>
      <c r="N10" s="22" t="n">
        <f aca="false">SUMIFS('Budget vs Actual'!$F$4:$F$515,'Budget vs Actual'!$A$4:$A$515,A10)</f>
        <v>205.3</v>
      </c>
      <c r="O10" s="20" t="n">
        <f aca="false">SUMIFS('Budget vs Actual'!$I$4:$I$515,'Budget vs Actual'!$A$4:$A$515,A10)</f>
        <v>42484.5</v>
      </c>
      <c r="P10" s="23" t="n">
        <f aca="false">IF(H10=0,"",N10/H10)</f>
        <v>0.869915254237288</v>
      </c>
      <c r="Q10" s="23" t="n">
        <f aca="false">IF(L10=0,"",V10/L10)</f>
        <v>0.767849664887558</v>
      </c>
      <c r="R10" s="23" t="n">
        <f aca="false">P10-M10</f>
        <v>-0.130084745762712</v>
      </c>
      <c r="S10" s="24" t="str">
        <f aca="false">IF(P10&gt;1,"Over Budget",IF(R10&gt;0.15,"Trending Over Budget",IF(R10&lt;-0.15,"Behind Pace / Under-Utilized","On Track")))</f>
        <v>On Track</v>
      </c>
      <c r="T10" s="25" t="n">
        <f aca="false">COUNTIF('Discrepancy Report'!$B$4:$B$67,A10)</f>
        <v>0</v>
      </c>
      <c r="U10" s="20" t="n">
        <f aca="false">SUMIF('Discrepancy Report'!$B$4:$B$67,A10,'Discrepancy Report'!$G$4:$G$67)</f>
        <v>0</v>
      </c>
      <c r="V10" s="19" t="n">
        <v>42484.5</v>
      </c>
    </row>
    <row r="11" customFormat="false" ht="15" hidden="false" customHeight="false" outlineLevel="0" collapsed="false">
      <c r="A11" s="16" t="s">
        <v>67</v>
      </c>
      <c r="B11" s="16" t="s">
        <v>54</v>
      </c>
      <c r="C11" s="16" t="s">
        <v>68</v>
      </c>
      <c r="D11" s="16" t="s">
        <v>69</v>
      </c>
      <c r="E11" s="16" t="s">
        <v>52</v>
      </c>
      <c r="F11" s="17" t="n">
        <v>45776</v>
      </c>
      <c r="G11" s="17" t="n">
        <v>46195</v>
      </c>
      <c r="H11" s="18" t="n">
        <v>1194</v>
      </c>
      <c r="I11" s="19" t="n">
        <v>256650</v>
      </c>
      <c r="J11" s="19" t="n">
        <v>263798.86</v>
      </c>
      <c r="K11" s="19" t="n">
        <v>55201.81</v>
      </c>
      <c r="L11" s="20" t="n">
        <f aca="false">J11+K11</f>
        <v>319000.67</v>
      </c>
      <c r="M11" s="21" t="n">
        <v>0.284</v>
      </c>
      <c r="N11" s="22" t="n">
        <f aca="false">SUMIFS('Budget vs Actual'!$F$4:$F$515,'Budget vs Actual'!$A$4:$A$515,A11)</f>
        <v>1032</v>
      </c>
      <c r="O11" s="20" t="n">
        <f aca="false">SUMIFS('Budget vs Actual'!$I$4:$I$515,'Budget vs Actual'!$A$4:$A$515,A11)</f>
        <v>222334</v>
      </c>
      <c r="P11" s="23" t="n">
        <f aca="false">IF(H11=0,"",N11/H11)</f>
        <v>0.864321608040201</v>
      </c>
      <c r="Q11" s="23" t="n">
        <f aca="false">IF(L11=0,"",V11/L11)</f>
        <v>0.696970322977692</v>
      </c>
      <c r="R11" s="23" t="n">
        <f aca="false">P11-M11</f>
        <v>0.580321608040201</v>
      </c>
      <c r="S11" s="24" t="str">
        <f aca="false">IF(P11&gt;1,"Over Budget",IF(R11&gt;0.15,"Trending Over Budget",IF(R11&lt;-0.15,"Behind Pace / Under-Utilized","On Track")))</f>
        <v>Trending Over Budget</v>
      </c>
      <c r="T11" s="25" t="n">
        <f aca="false">COUNTIF('Discrepancy Report'!$B$4:$B$67,A11)</f>
        <v>4</v>
      </c>
      <c r="U11" s="20" t="n">
        <f aca="false">SUMIF('Discrepancy Report'!$B$4:$B$67,A11,'Discrepancy Report'!$G$4:$G$67)</f>
        <v>4153</v>
      </c>
      <c r="V11" s="19" t="n">
        <v>222334</v>
      </c>
    </row>
    <row r="12" customFormat="false" ht="15" hidden="false" customHeight="false" outlineLevel="0" collapsed="false">
      <c r="A12" s="16" t="s">
        <v>70</v>
      </c>
      <c r="B12" s="16" t="s">
        <v>58</v>
      </c>
      <c r="C12" s="16" t="s">
        <v>71</v>
      </c>
      <c r="D12" s="16" t="s">
        <v>56</v>
      </c>
      <c r="E12" s="16" t="s">
        <v>72</v>
      </c>
      <c r="F12" s="17" t="n">
        <v>45616</v>
      </c>
      <c r="G12" s="17" t="n">
        <v>45821</v>
      </c>
      <c r="H12" s="18" t="n">
        <v>2492</v>
      </c>
      <c r="I12" s="19" t="n">
        <v>529510</v>
      </c>
      <c r="J12" s="19" t="n">
        <v>319379.48</v>
      </c>
      <c r="K12" s="19" t="n">
        <v>0</v>
      </c>
      <c r="L12" s="20" t="n">
        <f aca="false">J12+K12</f>
        <v>319379.48</v>
      </c>
      <c r="M12" s="21" t="n">
        <v>1</v>
      </c>
      <c r="N12" s="22" t="n">
        <f aca="false">SUMIFS('Budget vs Actual'!$F$4:$F$515,'Budget vs Actual'!$A$4:$A$515,A12)</f>
        <v>2071.8</v>
      </c>
      <c r="O12" s="20" t="n">
        <f aca="false">SUMIFS('Budget vs Actual'!$I$4:$I$515,'Budget vs Actual'!$A$4:$A$515,A12)</f>
        <v>440190.5</v>
      </c>
      <c r="P12" s="23" t="n">
        <f aca="false">IF(H12=0,"",N12/H12)</f>
        <v>0.831380417335474</v>
      </c>
      <c r="Q12" s="23" t="n">
        <f aca="false">IF(L12=0,"",V12/L12)</f>
        <v>0.805524136992145</v>
      </c>
      <c r="R12" s="23" t="n">
        <f aca="false">P12-M12</f>
        <v>-0.168619582664526</v>
      </c>
      <c r="S12" s="24" t="str">
        <f aca="false">IF(P12&gt;1,"Over Budget",IF(R12&gt;0.15,"Trending Over Budget",IF(R12&lt;-0.15,"Behind Pace / Under-Utilized","On Track")))</f>
        <v>Behind Pace / Under-Utilized</v>
      </c>
      <c r="T12" s="25" t="n">
        <f aca="false">COUNTIF('Discrepancy Report'!$B$4:$B$67,A12)</f>
        <v>6</v>
      </c>
      <c r="U12" s="20" t="n">
        <f aca="false">SUMIF('Discrepancy Report'!$B$4:$B$67,A12,'Discrepancy Report'!$G$4:$G$67)</f>
        <v>101264.06</v>
      </c>
      <c r="V12" s="19" t="n">
        <v>257267.88</v>
      </c>
    </row>
    <row r="13" customFormat="false" ht="15" hidden="false" customHeight="false" outlineLevel="0" collapsed="false">
      <c r="A13" s="16" t="s">
        <v>73</v>
      </c>
      <c r="B13" s="16" t="s">
        <v>61</v>
      </c>
      <c r="C13" s="16" t="s">
        <v>74</v>
      </c>
      <c r="D13" s="16" t="s">
        <v>69</v>
      </c>
      <c r="E13" s="16" t="s">
        <v>75</v>
      </c>
      <c r="F13" s="17" t="n">
        <v>45798</v>
      </c>
      <c r="G13" s="17" t="n">
        <v>46124</v>
      </c>
      <c r="H13" s="18" t="n">
        <v>2748</v>
      </c>
      <c r="I13" s="19" t="n">
        <v>583770</v>
      </c>
      <c r="J13" s="19" t="n">
        <v>587107.14</v>
      </c>
      <c r="K13" s="19" t="n">
        <v>0</v>
      </c>
      <c r="L13" s="20" t="n">
        <f aca="false">J13+K13</f>
        <v>587107.14</v>
      </c>
      <c r="M13" s="21" t="n">
        <v>0.282</v>
      </c>
      <c r="N13" s="22" t="n">
        <f aca="false">SUMIFS('Budget vs Actual'!$F$4:$F$515,'Budget vs Actual'!$A$4:$A$515,A13)</f>
        <v>2484.9</v>
      </c>
      <c r="O13" s="20" t="n">
        <f aca="false">SUMIFS('Budget vs Actual'!$I$4:$I$515,'Budget vs Actual'!$A$4:$A$515,A13)</f>
        <v>529438</v>
      </c>
      <c r="P13" s="23" t="n">
        <f aca="false">IF(H13=0,"",N13/H13)</f>
        <v>0.904257641921398</v>
      </c>
      <c r="Q13" s="23" t="n">
        <f aca="false">IF(L13=0,"",V13/L13)</f>
        <v>0.901774078237236</v>
      </c>
      <c r="R13" s="23" t="n">
        <f aca="false">P13-M13</f>
        <v>0.622257641921397</v>
      </c>
      <c r="S13" s="24" t="str">
        <f aca="false">IF(P13&gt;1,"Over Budget",IF(R13&gt;0.15,"Trending Over Budget",IF(R13&lt;-0.15,"Behind Pace / Under-Utilized","On Track")))</f>
        <v>Trending Over Budget</v>
      </c>
      <c r="T13" s="25" t="n">
        <f aca="false">COUNTIF('Discrepancy Report'!$B$4:$B$67,A13)</f>
        <v>5</v>
      </c>
      <c r="U13" s="20" t="n">
        <f aca="false">SUMIF('Discrepancy Report'!$B$4:$B$67,A13,'Discrepancy Report'!$G$4:$G$67)</f>
        <v>75100.14</v>
      </c>
      <c r="V13" s="19" t="n">
        <v>529438</v>
      </c>
    </row>
    <row r="14" customFormat="false" ht="15" hidden="false" customHeight="false" outlineLevel="0" collapsed="false">
      <c r="A14" s="16" t="s">
        <v>76</v>
      </c>
      <c r="B14" s="16" t="s">
        <v>45</v>
      </c>
      <c r="C14" s="16" t="s">
        <v>77</v>
      </c>
      <c r="D14" s="16" t="s">
        <v>69</v>
      </c>
      <c r="E14" s="16" t="s">
        <v>78</v>
      </c>
      <c r="F14" s="17" t="n">
        <v>45823</v>
      </c>
      <c r="G14" s="17" t="n">
        <v>46274</v>
      </c>
      <c r="H14" s="18" t="n">
        <v>2213</v>
      </c>
      <c r="I14" s="19" t="n">
        <v>472045</v>
      </c>
      <c r="J14" s="19" t="n">
        <v>498726.25</v>
      </c>
      <c r="K14" s="19" t="n">
        <v>0</v>
      </c>
      <c r="L14" s="20" t="n">
        <f aca="false">J14+K14</f>
        <v>498726.25</v>
      </c>
      <c r="M14" s="21" t="n">
        <v>0.127</v>
      </c>
      <c r="N14" s="22" t="n">
        <f aca="false">SUMIFS('Budget vs Actual'!$F$4:$F$515,'Budget vs Actual'!$A$4:$A$515,A14)</f>
        <v>1304.1</v>
      </c>
      <c r="O14" s="20" t="n">
        <f aca="false">SUMIFS('Budget vs Actual'!$I$4:$I$515,'Budget vs Actual'!$A$4:$A$515,A14)</f>
        <v>274820.5</v>
      </c>
      <c r="P14" s="23" t="n">
        <f aca="false">IF(H14=0,"",N14/H14)</f>
        <v>0.589290555806597</v>
      </c>
      <c r="Q14" s="23" t="n">
        <f aca="false">IF(L14=0,"",V14/L14)</f>
        <v>0.551044786593848</v>
      </c>
      <c r="R14" s="23" t="n">
        <f aca="false">P14-M14</f>
        <v>0.462290555806597</v>
      </c>
      <c r="S14" s="24" t="str">
        <f aca="false">IF(P14&gt;1,"Over Budget",IF(R14&gt;0.15,"Trending Over Budget",IF(R14&lt;-0.15,"Behind Pace / Under-Utilized","On Track")))</f>
        <v>Trending Over Budget</v>
      </c>
      <c r="T14" s="25" t="n">
        <f aca="false">COUNTIF('Discrepancy Report'!$B$4:$B$67,A14)</f>
        <v>3</v>
      </c>
      <c r="U14" s="20" t="n">
        <f aca="false">SUMIF('Discrepancy Report'!$B$4:$B$67,A14,'Discrepancy Report'!$G$4:$G$67)</f>
        <v>12081.5</v>
      </c>
      <c r="V14" s="19" t="n">
        <v>274820.5</v>
      </c>
    </row>
    <row r="15" customFormat="false" ht="15" hidden="false" customHeight="false" outlineLevel="0" collapsed="false">
      <c r="A15" s="16" t="s">
        <v>79</v>
      </c>
      <c r="B15" s="16" t="s">
        <v>50</v>
      </c>
      <c r="C15" s="16" t="s">
        <v>80</v>
      </c>
      <c r="D15" s="16" t="s">
        <v>69</v>
      </c>
      <c r="E15" s="16" t="s">
        <v>52</v>
      </c>
      <c r="F15" s="17" t="n">
        <v>45699</v>
      </c>
      <c r="G15" s="17" t="n">
        <v>45983</v>
      </c>
      <c r="H15" s="18" t="n">
        <v>1390</v>
      </c>
      <c r="I15" s="19" t="n">
        <v>294840</v>
      </c>
      <c r="J15" s="19" t="n">
        <v>322356.22</v>
      </c>
      <c r="K15" s="19" t="n">
        <v>0</v>
      </c>
      <c r="L15" s="20" t="n">
        <f aca="false">J15+K15</f>
        <v>322356.22</v>
      </c>
      <c r="M15" s="21" t="n">
        <v>0.761</v>
      </c>
      <c r="N15" s="22" t="n">
        <f aca="false">SUMIFS('Budget vs Actual'!$F$4:$F$515,'Budget vs Actual'!$A$4:$A$515,A15)</f>
        <v>1231.3</v>
      </c>
      <c r="O15" s="20" t="n">
        <f aca="false">SUMIFS('Budget vs Actual'!$I$4:$I$515,'Budget vs Actual'!$A$4:$A$515,A15)</f>
        <v>260508.5</v>
      </c>
      <c r="P15" s="23" t="n">
        <f aca="false">IF(H15=0,"",N15/H15)</f>
        <v>0.885827338129496</v>
      </c>
      <c r="Q15" s="23" t="n">
        <f aca="false">IF(L15=0,"",V15/L15)</f>
        <v>0.808138586561165</v>
      </c>
      <c r="R15" s="23" t="n">
        <f aca="false">P15-M15</f>
        <v>0.124827338129496</v>
      </c>
      <c r="S15" s="24" t="str">
        <f aca="false">IF(P15&gt;1,"Over Budget",IF(R15&gt;0.15,"Trending Over Budget",IF(R15&lt;-0.15,"Behind Pace / Under-Utilized","On Track")))</f>
        <v>On Track</v>
      </c>
      <c r="T15" s="25" t="n">
        <f aca="false">COUNTIF('Discrepancy Report'!$B$4:$B$67,A15)</f>
        <v>4</v>
      </c>
      <c r="U15" s="20" t="n">
        <f aca="false">SUMIF('Discrepancy Report'!$B$4:$B$67,A15,'Discrepancy Report'!$G$4:$G$67)</f>
        <v>9780.5</v>
      </c>
      <c r="V15" s="19" t="n">
        <v>260508.5</v>
      </c>
    </row>
    <row r="16" customFormat="false" ht="15" hidden="false" customHeight="false" outlineLevel="0" collapsed="false">
      <c r="A16" s="16" t="s">
        <v>81</v>
      </c>
      <c r="B16" s="16" t="s">
        <v>54</v>
      </c>
      <c r="C16" s="16" t="s">
        <v>82</v>
      </c>
      <c r="D16" s="16" t="s">
        <v>47</v>
      </c>
      <c r="E16" s="16" t="s">
        <v>78</v>
      </c>
      <c r="F16" s="17" t="n">
        <v>45691</v>
      </c>
      <c r="G16" s="17" t="n">
        <v>45875</v>
      </c>
      <c r="H16" s="18" t="n">
        <v>951</v>
      </c>
      <c r="I16" s="19" t="n">
        <v>201140</v>
      </c>
      <c r="J16" s="19" t="n">
        <v>201140</v>
      </c>
      <c r="K16" s="19" t="n">
        <v>33951.09</v>
      </c>
      <c r="L16" s="20" t="n">
        <f aca="false">J16+K16</f>
        <v>235091.09</v>
      </c>
      <c r="M16" s="21" t="n">
        <v>1</v>
      </c>
      <c r="N16" s="22" t="n">
        <f aca="false">SUMIFS('Budget vs Actual'!$F$4:$F$515,'Budget vs Actual'!$A$4:$A$515,A16)</f>
        <v>810.3</v>
      </c>
      <c r="O16" s="20" t="n">
        <f aca="false">SUMIFS('Budget vs Actual'!$I$4:$I$515,'Budget vs Actual'!$A$4:$A$515,A16)</f>
        <v>170888.5</v>
      </c>
      <c r="P16" s="23" t="n">
        <f aca="false">IF(H16=0,"",N16/H16)</f>
        <v>0.85205047318612</v>
      </c>
      <c r="Q16" s="23" t="n">
        <f aca="false">IF(L16=0,"",V16/L16)</f>
        <v>0.72690334627314</v>
      </c>
      <c r="R16" s="23" t="n">
        <f aca="false">P16-M16</f>
        <v>-0.14794952681388</v>
      </c>
      <c r="S16" s="24" t="str">
        <f aca="false">IF(P16&gt;1,"Over Budget",IF(R16&gt;0.15,"Trending Over Budget",IF(R16&lt;-0.15,"Behind Pace / Under-Utilized","On Track")))</f>
        <v>On Track</v>
      </c>
      <c r="T16" s="25" t="n">
        <f aca="false">COUNTIF('Discrepancy Report'!$B$4:$B$67,A16)</f>
        <v>2</v>
      </c>
      <c r="U16" s="20" t="n">
        <f aca="false">SUMIF('Discrepancy Report'!$B$4:$B$67,A16,'Discrepancy Report'!$G$4:$G$67)</f>
        <v>3746</v>
      </c>
      <c r="V16" s="19" t="n">
        <v>170888.5</v>
      </c>
    </row>
    <row r="17" customFormat="false" ht="15" hidden="false" customHeight="false" outlineLevel="0" collapsed="false">
      <c r="A17" s="16" t="s">
        <v>83</v>
      </c>
      <c r="B17" s="16" t="s">
        <v>58</v>
      </c>
      <c r="C17" s="16" t="s">
        <v>84</v>
      </c>
      <c r="D17" s="16" t="s">
        <v>69</v>
      </c>
      <c r="E17" s="16" t="s">
        <v>52</v>
      </c>
      <c r="F17" s="17" t="n">
        <v>45694</v>
      </c>
      <c r="G17" s="17" t="n">
        <v>45900</v>
      </c>
      <c r="H17" s="18" t="n">
        <v>574</v>
      </c>
      <c r="I17" s="19" t="n">
        <v>123310</v>
      </c>
      <c r="J17" s="19" t="n">
        <v>130037.67</v>
      </c>
      <c r="K17" s="19" t="n">
        <v>0</v>
      </c>
      <c r="L17" s="20" t="n">
        <f aca="false">J17+K17</f>
        <v>130037.67</v>
      </c>
      <c r="M17" s="21" t="n">
        <v>1</v>
      </c>
      <c r="N17" s="22" t="n">
        <f aca="false">SUMIFS('Budget vs Actual'!$F$4:$F$515,'Budget vs Actual'!$A$4:$A$515,A17)</f>
        <v>423</v>
      </c>
      <c r="O17" s="20" t="n">
        <f aca="false">SUMIFS('Budget vs Actual'!$I$4:$I$515,'Budget vs Actual'!$A$4:$A$515,A17)</f>
        <v>90149.5</v>
      </c>
      <c r="P17" s="23" t="n">
        <f aca="false">IF(H17=0,"",N17/H17)</f>
        <v>0.736933797909408</v>
      </c>
      <c r="Q17" s="23" t="n">
        <f aca="false">IF(L17=0,"",V17/L17)</f>
        <v>0.693256807815766</v>
      </c>
      <c r="R17" s="23" t="n">
        <f aca="false">P17-M17</f>
        <v>-0.263066202090592</v>
      </c>
      <c r="S17" s="24" t="str">
        <f aca="false">IF(P17&gt;1,"Over Budget",IF(R17&gt;0.15,"Trending Over Budget",IF(R17&lt;-0.15,"Behind Pace / Under-Utilized","On Track")))</f>
        <v>Behind Pace / Under-Utilized</v>
      </c>
      <c r="T17" s="25" t="n">
        <f aca="false">COUNTIF('Discrepancy Report'!$B$4:$B$67,A17)</f>
        <v>4</v>
      </c>
      <c r="U17" s="20" t="n">
        <f aca="false">SUMIF('Discrepancy Report'!$B$4:$B$67,A17,'Discrepancy Report'!$G$4:$G$67)</f>
        <v>6413.5</v>
      </c>
      <c r="V17" s="19" t="n">
        <v>90149.5</v>
      </c>
    </row>
    <row r="18" customFormat="false" ht="15" hidden="false" customHeight="false" outlineLevel="0" collapsed="false">
      <c r="A18" s="16" t="s">
        <v>85</v>
      </c>
      <c r="B18" s="16" t="s">
        <v>61</v>
      </c>
      <c r="C18" s="16" t="s">
        <v>86</v>
      </c>
      <c r="D18" s="16" t="s">
        <v>56</v>
      </c>
      <c r="E18" s="16" t="s">
        <v>52</v>
      </c>
      <c r="F18" s="17" t="n">
        <v>45641</v>
      </c>
      <c r="G18" s="17" t="n">
        <v>46041</v>
      </c>
      <c r="H18" s="18" t="n">
        <v>2152</v>
      </c>
      <c r="I18" s="19" t="n">
        <v>447335</v>
      </c>
      <c r="J18" s="19" t="n">
        <v>276292.78</v>
      </c>
      <c r="K18" s="19" t="n">
        <v>53043.84</v>
      </c>
      <c r="L18" s="20" t="n">
        <f aca="false">J18+K18</f>
        <v>329336.62</v>
      </c>
      <c r="M18" s="21" t="n">
        <v>0.688</v>
      </c>
      <c r="N18" s="22" t="n">
        <f aca="false">SUMIFS('Budget vs Actual'!$F$4:$F$515,'Budget vs Actual'!$A$4:$A$515,A18)</f>
        <v>1917.4</v>
      </c>
      <c r="O18" s="20" t="n">
        <f aca="false">SUMIFS('Budget vs Actual'!$I$4:$I$515,'Budget vs Actual'!$A$4:$A$515,A18)</f>
        <v>398188.5</v>
      </c>
      <c r="P18" s="23" t="n">
        <f aca="false">IF(H18=0,"",N18/H18)</f>
        <v>0.890985130111524</v>
      </c>
      <c r="Q18" s="23" t="n">
        <f aca="false">IF(L18=0,"",V18/L18)</f>
        <v>0.732350687269457</v>
      </c>
      <c r="R18" s="23" t="n">
        <f aca="false">P18-M18</f>
        <v>0.202985130111524</v>
      </c>
      <c r="S18" s="24" t="str">
        <f aca="false">IF(P18&gt;1,"Over Budget",IF(R18&gt;0.15,"Trending Over Budget",IF(R18&lt;-0.15,"Behind Pace / Under-Utilized","On Track")))</f>
        <v>Trending Over Budget</v>
      </c>
      <c r="T18" s="25" t="n">
        <f aca="false">COUNTIF('Discrepancy Report'!$B$4:$B$67,A18)</f>
        <v>4</v>
      </c>
      <c r="U18" s="20" t="n">
        <f aca="false">SUMIF('Discrepancy Report'!$B$4:$B$67,A18,'Discrepancy Report'!$G$4:$G$67)</f>
        <v>11046.5</v>
      </c>
      <c r="V18" s="19" t="n">
        <v>241189.9</v>
      </c>
    </row>
    <row r="19" customFormat="false" ht="15" hidden="false" customHeight="false" outlineLevel="0" collapsed="false">
      <c r="A19" s="16" t="s">
        <v>87</v>
      </c>
      <c r="B19" s="16" t="s">
        <v>45</v>
      </c>
      <c r="C19" s="16" t="s">
        <v>88</v>
      </c>
      <c r="D19" s="16" t="s">
        <v>69</v>
      </c>
      <c r="E19" s="16" t="s">
        <v>72</v>
      </c>
      <c r="F19" s="17" t="n">
        <v>45578</v>
      </c>
      <c r="G19" s="17" t="n">
        <v>45849</v>
      </c>
      <c r="H19" s="18" t="n">
        <v>1399</v>
      </c>
      <c r="I19" s="19" t="n">
        <v>295805</v>
      </c>
      <c r="J19" s="19" t="n">
        <v>306148.07</v>
      </c>
      <c r="K19" s="19" t="n">
        <v>0</v>
      </c>
      <c r="L19" s="20" t="n">
        <f aca="false">J19+K19</f>
        <v>306148.07</v>
      </c>
      <c r="M19" s="21" t="n">
        <v>1</v>
      </c>
      <c r="N19" s="22" t="n">
        <f aca="false">SUMIFS('Budget vs Actual'!$F$4:$F$515,'Budget vs Actual'!$A$4:$A$515,A19)</f>
        <v>1140.8</v>
      </c>
      <c r="O19" s="20" t="n">
        <f aca="false">SUMIFS('Budget vs Actual'!$I$4:$I$515,'Budget vs Actual'!$A$4:$A$515,A19)</f>
        <v>243827.5</v>
      </c>
      <c r="P19" s="23" t="n">
        <f aca="false">IF(H19=0,"",N19/H19)</f>
        <v>0.815439599714081</v>
      </c>
      <c r="Q19" s="23" t="n">
        <f aca="false">IF(L19=0,"",V19/L19)</f>
        <v>0.796436508647597</v>
      </c>
      <c r="R19" s="23" t="n">
        <f aca="false">P19-M19</f>
        <v>-0.184560400285919</v>
      </c>
      <c r="S19" s="24" t="str">
        <f aca="false">IF(P19&gt;1,"Over Budget",IF(R19&gt;0.15,"Trending Over Budget",IF(R19&lt;-0.15,"Behind Pace / Under-Utilized","On Track")))</f>
        <v>Behind Pace / Under-Utilized</v>
      </c>
      <c r="T19" s="25" t="n">
        <f aca="false">COUNTIF('Discrepancy Report'!$B$4:$B$67,A19)</f>
        <v>4</v>
      </c>
      <c r="U19" s="20" t="n">
        <f aca="false">SUMIF('Discrepancy Report'!$B$4:$B$67,A19,'Discrepancy Report'!$G$4:$G$67)</f>
        <v>11663</v>
      </c>
      <c r="V19" s="19" t="n">
        <v>243827.5</v>
      </c>
    </row>
    <row r="20" customFormat="false" ht="15" hidden="false" customHeight="false" outlineLevel="0" collapsed="false">
      <c r="A20" s="16" t="s">
        <v>89</v>
      </c>
      <c r="B20" s="16" t="s">
        <v>50</v>
      </c>
      <c r="C20" s="16" t="s">
        <v>90</v>
      </c>
      <c r="D20" s="16" t="s">
        <v>69</v>
      </c>
      <c r="E20" s="16" t="s">
        <v>75</v>
      </c>
      <c r="F20" s="17" t="n">
        <v>45682</v>
      </c>
      <c r="G20" s="17" t="n">
        <v>45976</v>
      </c>
      <c r="H20" s="18" t="n">
        <v>805</v>
      </c>
      <c r="I20" s="19" t="n">
        <v>173260</v>
      </c>
      <c r="J20" s="19" t="n">
        <v>176353.87</v>
      </c>
      <c r="K20" s="19" t="n">
        <v>0</v>
      </c>
      <c r="L20" s="20" t="n">
        <f aca="false">J20+K20</f>
        <v>176353.87</v>
      </c>
      <c r="M20" s="21" t="n">
        <v>0.791</v>
      </c>
      <c r="N20" s="22" t="n">
        <f aca="false">SUMIFS('Budget vs Actual'!$F$4:$F$515,'Budget vs Actual'!$A$4:$A$515,A20)</f>
        <v>654.7</v>
      </c>
      <c r="O20" s="20" t="n">
        <f aca="false">SUMIFS('Budget vs Actual'!$I$4:$I$515,'Budget vs Actual'!$A$4:$A$515,A20)</f>
        <v>140683.5</v>
      </c>
      <c r="P20" s="23" t="n">
        <f aca="false">IF(H20=0,"",N20/H20)</f>
        <v>0.813291925465839</v>
      </c>
      <c r="Q20" s="23" t="n">
        <f aca="false">IF(L20=0,"",V20/L20)</f>
        <v>0.797734124008733</v>
      </c>
      <c r="R20" s="23" t="n">
        <f aca="false">P20-M20</f>
        <v>0.0222919254658386</v>
      </c>
      <c r="S20" s="24" t="str">
        <f aca="false">IF(P20&gt;1,"Over Budget",IF(R20&gt;0.15,"Trending Over Budget",IF(R20&lt;-0.15,"Behind Pace / Under-Utilized","On Track")))</f>
        <v>On Track</v>
      </c>
      <c r="T20" s="25" t="n">
        <f aca="false">COUNTIF('Discrepancy Report'!$B$4:$B$67,A20)</f>
        <v>3</v>
      </c>
      <c r="U20" s="20" t="n">
        <f aca="false">SUMIF('Discrepancy Report'!$B$4:$B$67,A20,'Discrepancy Report'!$G$4:$G$67)</f>
        <v>3598</v>
      </c>
      <c r="V20" s="19" t="n">
        <v>140683.5</v>
      </c>
    </row>
    <row r="21" customFormat="false" ht="15" hidden="false" customHeight="false" outlineLevel="0" collapsed="false">
      <c r="A21" s="16" t="s">
        <v>91</v>
      </c>
      <c r="B21" s="16" t="s">
        <v>54</v>
      </c>
      <c r="C21" s="16" t="s">
        <v>92</v>
      </c>
      <c r="D21" s="16" t="s">
        <v>56</v>
      </c>
      <c r="E21" s="16" t="s">
        <v>78</v>
      </c>
      <c r="F21" s="17" t="n">
        <v>45701</v>
      </c>
      <c r="G21" s="17" t="n">
        <v>45900</v>
      </c>
      <c r="H21" s="18" t="n">
        <v>603</v>
      </c>
      <c r="I21" s="19" t="n">
        <v>128000</v>
      </c>
      <c r="J21" s="19" t="n">
        <v>82503.54</v>
      </c>
      <c r="K21" s="19" t="n">
        <v>0</v>
      </c>
      <c r="L21" s="20" t="n">
        <f aca="false">J21+K21</f>
        <v>82503.54</v>
      </c>
      <c r="M21" s="21" t="n">
        <v>1</v>
      </c>
      <c r="N21" s="22" t="n">
        <f aca="false">SUMIFS('Budget vs Actual'!$F$4:$F$515,'Budget vs Actual'!$A$4:$A$515,A21)</f>
        <v>491.6</v>
      </c>
      <c r="O21" s="20" t="n">
        <f aca="false">SUMIFS('Budget vs Actual'!$I$4:$I$515,'Budget vs Actual'!$A$4:$A$515,A21)</f>
        <v>103809</v>
      </c>
      <c r="P21" s="23" t="n">
        <f aca="false">IF(H21=0,"",N21/H21)</f>
        <v>0.815257048092869</v>
      </c>
      <c r="Q21" s="23" t="n">
        <f aca="false">IF(L21=0,"",V21/L21)</f>
        <v>0.75433781386835</v>
      </c>
      <c r="R21" s="23" t="n">
        <f aca="false">P21-M21</f>
        <v>-0.184742951907131</v>
      </c>
      <c r="S21" s="24" t="str">
        <f aca="false">IF(P21&gt;1,"Over Budget",IF(R21&gt;0.15,"Trending Over Budget",IF(R21&lt;-0.15,"Behind Pace / Under-Utilized","On Track")))</f>
        <v>Behind Pace / Under-Utilized</v>
      </c>
      <c r="T21" s="25" t="n">
        <f aca="false">COUNTIF('Discrepancy Report'!$B$4:$B$67,A21)</f>
        <v>3</v>
      </c>
      <c r="U21" s="20" t="n">
        <f aca="false">SUMIF('Discrepancy Report'!$B$4:$B$67,A21,'Discrepancy Report'!$G$4:$G$67)</f>
        <v>22436.12</v>
      </c>
      <c r="V21" s="19" t="n">
        <v>62235.54</v>
      </c>
    </row>
  </sheetData>
  <conditionalFormatting sqref="S4:S21">
    <cfRule type="cellIs" priority="2" operator="equal" aboveAverage="0" equalAverage="0" bottom="0" percent="0" rank="0" text="" dxfId="0">
      <formula>"Over Budget"</formula>
    </cfRule>
    <cfRule type="cellIs" priority="3" operator="equal" aboveAverage="0" equalAverage="0" bottom="0" percent="0" rank="0" text="" dxfId="1">
      <formula>"Trending Over Budget"</formula>
    </cfRule>
    <cfRule type="cellIs" priority="4" operator="equal" aboveAverage="0" equalAverage="0" bottom="0" percent="0" rank="0" text="" dxfId="2">
      <formula>"Behind Pace / Under-Utilized"</formula>
    </cfRule>
    <cfRule type="cellIs" priority="5" operator="equal" aboveAverage="0" equalAverage="0" bottom="0" percent="0" rank="0" text="" dxfId="3">
      <formula>"On Track"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4" min="3" style="0" width="12"/>
    <col collapsed="false" customWidth="true" hidden="false" outlineLevel="0" max="5" min="5" style="0" width="13"/>
    <col collapsed="false" customWidth="true" hidden="false" outlineLevel="0" max="7" min="6" style="0" width="12"/>
    <col collapsed="false" customWidth="true" hidden="false" outlineLevel="0" max="8" min="8" style="0" width="13"/>
    <col collapsed="false" customWidth="true" hidden="false" outlineLevel="0" max="10" min="9" style="0" width="18"/>
    <col collapsed="false" customWidth="true" hidden="false" outlineLevel="0" max="11" min="11" style="0" width="15"/>
  </cols>
  <sheetData>
    <row r="1" customFormat="false" ht="17.35" hidden="false" customHeight="false" outlineLevel="0" collapsed="false">
      <c r="A1" s="1" t="s">
        <v>93</v>
      </c>
    </row>
    <row r="2" customFormat="false" ht="15" hidden="false" customHeight="false" outlineLevel="0" collapsed="false">
      <c r="A2" s="2" t="s">
        <v>94</v>
      </c>
    </row>
    <row r="3" customFormat="false" ht="30" hidden="false" customHeight="true" outlineLevel="0" collapsed="false">
      <c r="A3" s="15" t="s">
        <v>25</v>
      </c>
      <c r="B3" s="15" t="s">
        <v>26</v>
      </c>
      <c r="C3" s="15" t="s">
        <v>95</v>
      </c>
      <c r="D3" s="15" t="s">
        <v>9</v>
      </c>
      <c r="E3" s="15" t="s">
        <v>10</v>
      </c>
      <c r="F3" s="15" t="s">
        <v>11</v>
      </c>
      <c r="G3" s="15" t="s">
        <v>12</v>
      </c>
      <c r="H3" s="15" t="s">
        <v>32</v>
      </c>
      <c r="I3" s="15" t="s">
        <v>96</v>
      </c>
      <c r="J3" s="15" t="s">
        <v>97</v>
      </c>
      <c r="K3" s="15" t="s">
        <v>98</v>
      </c>
    </row>
    <row r="4" customFormat="false" ht="15" hidden="false" customHeight="false" outlineLevel="0" collapsed="false">
      <c r="A4" s="13" t="s">
        <v>44</v>
      </c>
      <c r="B4" s="13" t="s">
        <v>45</v>
      </c>
      <c r="C4" s="13" t="s">
        <v>99</v>
      </c>
      <c r="D4" s="9" t="n">
        <v>45566</v>
      </c>
      <c r="E4" s="26" t="n">
        <v>47.2</v>
      </c>
      <c r="F4" s="26" t="n">
        <v>43</v>
      </c>
      <c r="G4" s="11" t="n">
        <f aca="false">IF(E4=0,"",F4/E4)</f>
        <v>0.911016949152542</v>
      </c>
      <c r="H4" s="27" t="n">
        <v>7316.05</v>
      </c>
      <c r="I4" s="27" t="n">
        <v>6665</v>
      </c>
      <c r="J4" s="27" t="n">
        <v>6665</v>
      </c>
      <c r="K4" s="11" t="n">
        <f aca="false">IF(I4=0,"",J4/I4)</f>
        <v>1</v>
      </c>
    </row>
    <row r="5" customFormat="false" ht="15" hidden="false" customHeight="false" outlineLevel="0" collapsed="false">
      <c r="A5" s="13" t="s">
        <v>44</v>
      </c>
      <c r="B5" s="13" t="s">
        <v>45</v>
      </c>
      <c r="C5" s="13" t="s">
        <v>100</v>
      </c>
      <c r="D5" s="9" t="n">
        <v>45566</v>
      </c>
      <c r="E5" s="26" t="n">
        <v>56.89</v>
      </c>
      <c r="F5" s="26" t="n">
        <v>39.3</v>
      </c>
      <c r="G5" s="11" t="n">
        <f aca="false">IF(E5=0,"",F5/E5)</f>
        <v>0.690806820179293</v>
      </c>
      <c r="H5" s="27" t="n">
        <v>11947.1</v>
      </c>
      <c r="I5" s="27" t="n">
        <v>8253</v>
      </c>
      <c r="J5" s="27" t="n">
        <v>8253</v>
      </c>
      <c r="K5" s="11" t="n">
        <f aca="false">IF(I5=0,"",J5/I5)</f>
        <v>1</v>
      </c>
    </row>
    <row r="6" customFormat="false" ht="15" hidden="false" customHeight="false" outlineLevel="0" collapsed="false">
      <c r="A6" s="13" t="s">
        <v>44</v>
      </c>
      <c r="B6" s="13" t="s">
        <v>45</v>
      </c>
      <c r="C6" s="13" t="s">
        <v>101</v>
      </c>
      <c r="D6" s="9" t="n">
        <v>45566</v>
      </c>
      <c r="E6" s="26" t="n">
        <v>26.7</v>
      </c>
      <c r="F6" s="26" t="n">
        <v>18.6</v>
      </c>
      <c r="G6" s="11" t="n">
        <f aca="false">IF(E6=0,"",F6/E6)</f>
        <v>0.696629213483146</v>
      </c>
      <c r="H6" s="27" t="n">
        <v>7342.09</v>
      </c>
      <c r="I6" s="27" t="n">
        <v>5115</v>
      </c>
      <c r="J6" s="27" t="n">
        <v>5115</v>
      </c>
      <c r="K6" s="11" t="n">
        <f aca="false">IF(I6=0,"",J6/I6)</f>
        <v>1</v>
      </c>
    </row>
    <row r="7" customFormat="false" ht="15" hidden="false" customHeight="false" outlineLevel="0" collapsed="false">
      <c r="A7" s="13" t="s">
        <v>44</v>
      </c>
      <c r="B7" s="13" t="s">
        <v>45</v>
      </c>
      <c r="C7" s="13" t="s">
        <v>102</v>
      </c>
      <c r="D7" s="9" t="n">
        <v>45566</v>
      </c>
      <c r="E7" s="26" t="n">
        <v>7.91</v>
      </c>
      <c r="F7" s="26" t="n">
        <v>2.9</v>
      </c>
      <c r="G7" s="11" t="n">
        <f aca="false">IF(E7=0,"",F7/E7)</f>
        <v>0.366624525916561</v>
      </c>
      <c r="H7" s="27" t="n">
        <v>3045.61</v>
      </c>
      <c r="I7" s="27" t="n">
        <v>1116.5</v>
      </c>
      <c r="J7" s="27" t="n">
        <v>1116.5</v>
      </c>
      <c r="K7" s="11" t="n">
        <f aca="false">IF(I7=0,"",J7/I7)</f>
        <v>1</v>
      </c>
    </row>
    <row r="8" customFormat="false" ht="15" hidden="false" customHeight="false" outlineLevel="0" collapsed="false">
      <c r="A8" s="13" t="s">
        <v>44</v>
      </c>
      <c r="B8" s="13" t="s">
        <v>45</v>
      </c>
      <c r="C8" s="13" t="s">
        <v>99</v>
      </c>
      <c r="D8" s="9" t="n">
        <v>45597</v>
      </c>
      <c r="E8" s="26" t="n">
        <v>80.71</v>
      </c>
      <c r="F8" s="26" t="n">
        <v>74.3</v>
      </c>
      <c r="G8" s="11" t="n">
        <f aca="false">IF(E8=0,"",F8/E8)</f>
        <v>0.920579853797547</v>
      </c>
      <c r="H8" s="27" t="n">
        <v>12510.39</v>
      </c>
      <c r="I8" s="27" t="n">
        <v>11516.5</v>
      </c>
      <c r="J8" s="27" t="n">
        <v>11516.5</v>
      </c>
      <c r="K8" s="11" t="n">
        <f aca="false">IF(I8=0,"",J8/I8)</f>
        <v>1</v>
      </c>
    </row>
    <row r="9" customFormat="false" ht="15" hidden="false" customHeight="false" outlineLevel="0" collapsed="false">
      <c r="A9" s="13" t="s">
        <v>44</v>
      </c>
      <c r="B9" s="13" t="s">
        <v>45</v>
      </c>
      <c r="C9" s="13" t="s">
        <v>100</v>
      </c>
      <c r="D9" s="9" t="n">
        <v>45597</v>
      </c>
      <c r="E9" s="26" t="n">
        <v>97.28</v>
      </c>
      <c r="F9" s="26" t="n">
        <v>88.1</v>
      </c>
      <c r="G9" s="11" t="n">
        <f aca="false">IF(E9=0,"",F9/E9)</f>
        <v>0.905633223684211</v>
      </c>
      <c r="H9" s="27" t="n">
        <v>20429.43</v>
      </c>
      <c r="I9" s="27" t="n">
        <v>18501</v>
      </c>
      <c r="J9" s="27" t="n">
        <v>18501</v>
      </c>
      <c r="K9" s="11" t="n">
        <f aca="false">IF(I9=0,"",J9/I9)</f>
        <v>1</v>
      </c>
    </row>
    <row r="10" customFormat="false" ht="15" hidden="false" customHeight="false" outlineLevel="0" collapsed="false">
      <c r="A10" s="13" t="s">
        <v>44</v>
      </c>
      <c r="B10" s="13" t="s">
        <v>45</v>
      </c>
      <c r="C10" s="13" t="s">
        <v>101</v>
      </c>
      <c r="D10" s="9" t="n">
        <v>45597</v>
      </c>
      <c r="E10" s="26" t="n">
        <v>45.65</v>
      </c>
      <c r="F10" s="26" t="n">
        <v>44.7</v>
      </c>
      <c r="G10" s="11" t="n">
        <f aca="false">IF(E10=0,"",F10/E10)</f>
        <v>0.979189485213582</v>
      </c>
      <c r="H10" s="27" t="n">
        <v>12554.92</v>
      </c>
      <c r="I10" s="27" t="n">
        <v>12292.5</v>
      </c>
      <c r="J10" s="27" t="n">
        <v>12292.5</v>
      </c>
      <c r="K10" s="11" t="n">
        <f aca="false">IF(I10=0,"",J10/I10)</f>
        <v>1</v>
      </c>
    </row>
    <row r="11" customFormat="false" ht="15" hidden="false" customHeight="false" outlineLevel="0" collapsed="false">
      <c r="A11" s="13" t="s">
        <v>44</v>
      </c>
      <c r="B11" s="13" t="s">
        <v>45</v>
      </c>
      <c r="C11" s="13" t="s">
        <v>102</v>
      </c>
      <c r="D11" s="9" t="n">
        <v>45597</v>
      </c>
      <c r="E11" s="26" t="n">
        <v>13.53</v>
      </c>
      <c r="F11" s="26" t="n">
        <v>12.7</v>
      </c>
      <c r="G11" s="11" t="n">
        <f aca="false">IF(E11=0,"",F11/E11)</f>
        <v>0.938654841093865</v>
      </c>
      <c r="H11" s="27" t="n">
        <v>5207.97</v>
      </c>
      <c r="I11" s="27" t="n">
        <v>4889.5</v>
      </c>
      <c r="J11" s="27" t="n">
        <v>4889.5</v>
      </c>
      <c r="K11" s="11" t="n">
        <f aca="false">IF(I11=0,"",J11/I11)</f>
        <v>1</v>
      </c>
    </row>
    <row r="12" customFormat="false" ht="15" hidden="false" customHeight="false" outlineLevel="0" collapsed="false">
      <c r="A12" s="13" t="s">
        <v>44</v>
      </c>
      <c r="B12" s="13" t="s">
        <v>45</v>
      </c>
      <c r="C12" s="13" t="s">
        <v>99</v>
      </c>
      <c r="D12" s="9" t="n">
        <v>45627</v>
      </c>
      <c r="E12" s="26" t="n">
        <v>107.59</v>
      </c>
      <c r="F12" s="26" t="n">
        <v>73.1</v>
      </c>
      <c r="G12" s="11" t="n">
        <f aca="false">IF(E12=0,"",F12/E12)</f>
        <v>0.67943117390092</v>
      </c>
      <c r="H12" s="27" t="n">
        <v>16675.93</v>
      </c>
      <c r="I12" s="27" t="n">
        <v>11330.5</v>
      </c>
      <c r="J12" s="27" t="n">
        <v>11330.5</v>
      </c>
      <c r="K12" s="11" t="n">
        <f aca="false">IF(I12=0,"",J12/I12)</f>
        <v>1</v>
      </c>
    </row>
    <row r="13" customFormat="false" ht="15" hidden="false" customHeight="false" outlineLevel="0" collapsed="false">
      <c r="A13" s="13" t="s">
        <v>44</v>
      </c>
      <c r="B13" s="13" t="s">
        <v>45</v>
      </c>
      <c r="C13" s="13" t="s">
        <v>100</v>
      </c>
      <c r="D13" s="9" t="n">
        <v>45627</v>
      </c>
      <c r="E13" s="26" t="n">
        <v>129.67</v>
      </c>
      <c r="F13" s="26" t="n">
        <v>107.2</v>
      </c>
      <c r="G13" s="11" t="n">
        <f aca="false">IF(E13=0,"",F13/E13)</f>
        <v>0.826713966221948</v>
      </c>
      <c r="H13" s="27" t="n">
        <v>27231.74</v>
      </c>
      <c r="I13" s="27" t="n">
        <v>22512</v>
      </c>
      <c r="J13" s="27" t="n">
        <v>22512</v>
      </c>
      <c r="K13" s="11" t="n">
        <f aca="false">IF(I13=0,"",J13/I13)</f>
        <v>1</v>
      </c>
    </row>
    <row r="14" customFormat="false" ht="15" hidden="false" customHeight="false" outlineLevel="0" collapsed="false">
      <c r="A14" s="13" t="s">
        <v>44</v>
      </c>
      <c r="B14" s="13" t="s">
        <v>45</v>
      </c>
      <c r="C14" s="13" t="s">
        <v>101</v>
      </c>
      <c r="D14" s="9" t="n">
        <v>45627</v>
      </c>
      <c r="E14" s="26" t="n">
        <v>60.86</v>
      </c>
      <c r="F14" s="26" t="n">
        <v>53.7</v>
      </c>
      <c r="G14" s="11" t="n">
        <f aca="false">IF(E14=0,"",F14/E14)</f>
        <v>0.882352941176471</v>
      </c>
      <c r="H14" s="27" t="n">
        <v>16735.28</v>
      </c>
      <c r="I14" s="27" t="n">
        <v>14767.5</v>
      </c>
      <c r="J14" s="27" t="n">
        <v>14767.5</v>
      </c>
      <c r="K14" s="11" t="n">
        <f aca="false">IF(I14=0,"",J14/I14)</f>
        <v>1</v>
      </c>
    </row>
    <row r="15" customFormat="false" ht="15" hidden="false" customHeight="false" outlineLevel="0" collapsed="false">
      <c r="A15" s="13" t="s">
        <v>44</v>
      </c>
      <c r="B15" s="13" t="s">
        <v>45</v>
      </c>
      <c r="C15" s="13" t="s">
        <v>102</v>
      </c>
      <c r="D15" s="9" t="n">
        <v>45627</v>
      </c>
      <c r="E15" s="26" t="n">
        <v>18.03</v>
      </c>
      <c r="F15" s="26" t="n">
        <v>17.6</v>
      </c>
      <c r="G15" s="11" t="n">
        <f aca="false">IF(E15=0,"",F15/E15)</f>
        <v>0.976150859678314</v>
      </c>
      <c r="H15" s="27" t="n">
        <v>6942.04</v>
      </c>
      <c r="I15" s="27" t="n">
        <v>6776</v>
      </c>
      <c r="J15" s="27" t="n">
        <v>6776</v>
      </c>
      <c r="K15" s="11" t="n">
        <f aca="false">IF(I15=0,"",J15/I15)</f>
        <v>1</v>
      </c>
    </row>
    <row r="16" customFormat="false" ht="15" hidden="false" customHeight="false" outlineLevel="0" collapsed="false">
      <c r="A16" s="13" t="s">
        <v>44</v>
      </c>
      <c r="B16" s="13" t="s">
        <v>45</v>
      </c>
      <c r="C16" s="13" t="s">
        <v>99</v>
      </c>
      <c r="D16" s="9" t="n">
        <v>45658</v>
      </c>
      <c r="E16" s="26" t="n">
        <v>122.5</v>
      </c>
      <c r="F16" s="26" t="n">
        <v>104.6</v>
      </c>
      <c r="G16" s="11" t="n">
        <f aca="false">IF(E16=0,"",F16/E16)</f>
        <v>0.853877551020408</v>
      </c>
      <c r="H16" s="27" t="n">
        <v>18987.63</v>
      </c>
      <c r="I16" s="27" t="n">
        <v>16213</v>
      </c>
      <c r="J16" s="27" t="n">
        <v>16213</v>
      </c>
      <c r="K16" s="11" t="n">
        <f aca="false">IF(I16=0,"",J16/I16)</f>
        <v>1</v>
      </c>
    </row>
    <row r="17" customFormat="false" ht="15" hidden="false" customHeight="false" outlineLevel="0" collapsed="false">
      <c r="A17" s="13" t="s">
        <v>44</v>
      </c>
      <c r="B17" s="13" t="s">
        <v>45</v>
      </c>
      <c r="C17" s="13" t="s">
        <v>100</v>
      </c>
      <c r="D17" s="9" t="n">
        <v>45658</v>
      </c>
      <c r="E17" s="26" t="n">
        <v>147.65</v>
      </c>
      <c r="F17" s="26" t="n">
        <v>129.7</v>
      </c>
      <c r="G17" s="11" t="n">
        <f aca="false">IF(E17=0,"",F17/E17)</f>
        <v>0.878428716559431</v>
      </c>
      <c r="H17" s="27" t="n">
        <v>31006.73</v>
      </c>
      <c r="I17" s="27" t="n">
        <v>27237</v>
      </c>
      <c r="J17" s="27" t="n">
        <v>27237</v>
      </c>
      <c r="K17" s="11" t="n">
        <f aca="false">IF(I17=0,"",J17/I17)</f>
        <v>1</v>
      </c>
    </row>
    <row r="18" customFormat="false" ht="15" hidden="false" customHeight="false" outlineLevel="0" collapsed="false">
      <c r="A18" s="13" t="s">
        <v>44</v>
      </c>
      <c r="B18" s="13" t="s">
        <v>45</v>
      </c>
      <c r="C18" s="13" t="s">
        <v>101</v>
      </c>
      <c r="D18" s="9" t="n">
        <v>45658</v>
      </c>
      <c r="E18" s="26" t="n">
        <v>69.29</v>
      </c>
      <c r="F18" s="26" t="n">
        <v>64.4</v>
      </c>
      <c r="G18" s="11" t="n">
        <f aca="false">IF(E18=0,"",F18/E18)</f>
        <v>0.929427045749747</v>
      </c>
      <c r="H18" s="27" t="n">
        <v>19055.21</v>
      </c>
      <c r="I18" s="27" t="n">
        <v>17710</v>
      </c>
      <c r="J18" s="27" t="n">
        <v>17710</v>
      </c>
      <c r="K18" s="11" t="n">
        <f aca="false">IF(I18=0,"",J18/I18)</f>
        <v>1</v>
      </c>
    </row>
    <row r="19" customFormat="false" ht="15" hidden="false" customHeight="false" outlineLevel="0" collapsed="false">
      <c r="A19" s="13" t="s">
        <v>44</v>
      </c>
      <c r="B19" s="13" t="s">
        <v>45</v>
      </c>
      <c r="C19" s="13" t="s">
        <v>102</v>
      </c>
      <c r="D19" s="9" t="n">
        <v>45658</v>
      </c>
      <c r="E19" s="26" t="n">
        <v>20.53</v>
      </c>
      <c r="F19" s="26" t="n">
        <v>16.8</v>
      </c>
      <c r="G19" s="11" t="n">
        <f aca="false">IF(E19=0,"",F19/E19)</f>
        <v>0.818314661471018</v>
      </c>
      <c r="H19" s="27" t="n">
        <v>7904.38</v>
      </c>
      <c r="I19" s="27" t="n">
        <v>6468</v>
      </c>
      <c r="J19" s="27" t="n">
        <v>6468</v>
      </c>
      <c r="K19" s="11" t="n">
        <f aca="false">IF(I19=0,"",J19/I19)</f>
        <v>1</v>
      </c>
    </row>
    <row r="20" customFormat="false" ht="15" hidden="false" customHeight="false" outlineLevel="0" collapsed="false">
      <c r="A20" s="13" t="s">
        <v>44</v>
      </c>
      <c r="B20" s="13" t="s">
        <v>45</v>
      </c>
      <c r="C20" s="13" t="s">
        <v>99</v>
      </c>
      <c r="D20" s="9" t="n">
        <v>45689</v>
      </c>
      <c r="E20" s="26" t="n">
        <v>122.5</v>
      </c>
      <c r="F20" s="26" t="n">
        <v>90.4</v>
      </c>
      <c r="G20" s="11" t="n">
        <f aca="false">IF(E20=0,"",F20/E20)</f>
        <v>0.73795918367347</v>
      </c>
      <c r="H20" s="27" t="n">
        <v>18987.63</v>
      </c>
      <c r="I20" s="27" t="n">
        <v>14012</v>
      </c>
      <c r="J20" s="27" t="n">
        <v>14012</v>
      </c>
      <c r="K20" s="11" t="n">
        <f aca="false">IF(I20=0,"",J20/I20)</f>
        <v>1</v>
      </c>
    </row>
    <row r="21" customFormat="false" ht="15" hidden="false" customHeight="false" outlineLevel="0" collapsed="false">
      <c r="A21" s="13" t="s">
        <v>44</v>
      </c>
      <c r="B21" s="13" t="s">
        <v>45</v>
      </c>
      <c r="C21" s="13" t="s">
        <v>100</v>
      </c>
      <c r="D21" s="9" t="n">
        <v>45689</v>
      </c>
      <c r="E21" s="26" t="n">
        <v>147.65</v>
      </c>
      <c r="F21" s="26" t="n">
        <v>128.9</v>
      </c>
      <c r="G21" s="11" t="n">
        <f aca="false">IF(E21=0,"",F21/E21)</f>
        <v>0.873010497798849</v>
      </c>
      <c r="H21" s="27" t="n">
        <v>31006.73</v>
      </c>
      <c r="I21" s="27" t="n">
        <v>27069</v>
      </c>
      <c r="J21" s="27" t="n">
        <v>27069</v>
      </c>
      <c r="K21" s="11" t="n">
        <f aca="false">IF(I21=0,"",J21/I21)</f>
        <v>1</v>
      </c>
    </row>
    <row r="22" customFormat="false" ht="15" hidden="false" customHeight="false" outlineLevel="0" collapsed="false">
      <c r="A22" s="13" t="s">
        <v>44</v>
      </c>
      <c r="B22" s="13" t="s">
        <v>45</v>
      </c>
      <c r="C22" s="13" t="s">
        <v>101</v>
      </c>
      <c r="D22" s="9" t="n">
        <v>45689</v>
      </c>
      <c r="E22" s="26" t="n">
        <v>69.29</v>
      </c>
      <c r="F22" s="26" t="n">
        <v>67.3</v>
      </c>
      <c r="G22" s="11" t="n">
        <f aca="false">IF(E22=0,"",F22/E22)</f>
        <v>0.971280127002453</v>
      </c>
      <c r="H22" s="27" t="n">
        <v>19055.21</v>
      </c>
      <c r="I22" s="27" t="n">
        <v>18507.5</v>
      </c>
      <c r="J22" s="27" t="n">
        <v>18507.5</v>
      </c>
      <c r="K22" s="11" t="n">
        <f aca="false">IF(I22=0,"",J22/I22)</f>
        <v>1</v>
      </c>
    </row>
    <row r="23" customFormat="false" ht="15" hidden="false" customHeight="false" outlineLevel="0" collapsed="false">
      <c r="A23" s="13" t="s">
        <v>44</v>
      </c>
      <c r="B23" s="13" t="s">
        <v>45</v>
      </c>
      <c r="C23" s="13" t="s">
        <v>102</v>
      </c>
      <c r="D23" s="9" t="n">
        <v>45689</v>
      </c>
      <c r="E23" s="26" t="n">
        <v>20.53</v>
      </c>
      <c r="F23" s="26" t="n">
        <v>18.2</v>
      </c>
      <c r="G23" s="11" t="n">
        <f aca="false">IF(E23=0,"",F23/E23)</f>
        <v>0.886507549926936</v>
      </c>
      <c r="H23" s="27" t="n">
        <v>7904.38</v>
      </c>
      <c r="I23" s="27" t="n">
        <v>7007</v>
      </c>
      <c r="J23" s="27" t="n">
        <v>7007</v>
      </c>
      <c r="K23" s="11" t="n">
        <f aca="false">IF(I23=0,"",J23/I23)</f>
        <v>1</v>
      </c>
    </row>
    <row r="24" customFormat="false" ht="15" hidden="false" customHeight="false" outlineLevel="0" collapsed="false">
      <c r="A24" s="13" t="s">
        <v>44</v>
      </c>
      <c r="B24" s="13" t="s">
        <v>45</v>
      </c>
      <c r="C24" s="13" t="s">
        <v>99</v>
      </c>
      <c r="D24" s="9" t="n">
        <v>45717</v>
      </c>
      <c r="E24" s="26" t="n">
        <v>107.59</v>
      </c>
      <c r="F24" s="26" t="n">
        <v>88.2</v>
      </c>
      <c r="G24" s="11" t="n">
        <f aca="false">IF(E24=0,"",F24/E24)</f>
        <v>0.819778789850358</v>
      </c>
      <c r="H24" s="27" t="n">
        <v>16675.93</v>
      </c>
      <c r="I24" s="27" t="n">
        <v>13671</v>
      </c>
      <c r="J24" s="27" t="n">
        <v>13671</v>
      </c>
      <c r="K24" s="11" t="n">
        <f aca="false">IF(I24=0,"",J24/I24)</f>
        <v>1</v>
      </c>
    </row>
    <row r="25" customFormat="false" ht="15" hidden="false" customHeight="false" outlineLevel="0" collapsed="false">
      <c r="A25" s="13" t="s">
        <v>44</v>
      </c>
      <c r="B25" s="13" t="s">
        <v>45</v>
      </c>
      <c r="C25" s="13" t="s">
        <v>100</v>
      </c>
      <c r="D25" s="9" t="n">
        <v>45717</v>
      </c>
      <c r="E25" s="26" t="n">
        <v>129.67</v>
      </c>
      <c r="F25" s="26" t="n">
        <v>111.6</v>
      </c>
      <c r="G25" s="11" t="n">
        <f aca="false">IF(E25=0,"",F25/E25)</f>
        <v>0.860646255880312</v>
      </c>
      <c r="H25" s="27" t="n">
        <v>27231.74</v>
      </c>
      <c r="I25" s="27" t="n">
        <v>23436</v>
      </c>
      <c r="J25" s="27" t="n">
        <v>23436</v>
      </c>
      <c r="K25" s="11" t="n">
        <f aca="false">IF(I25=0,"",J25/I25)</f>
        <v>1</v>
      </c>
    </row>
    <row r="26" customFormat="false" ht="15" hidden="false" customHeight="false" outlineLevel="0" collapsed="false">
      <c r="A26" s="13" t="s">
        <v>44</v>
      </c>
      <c r="B26" s="13" t="s">
        <v>45</v>
      </c>
      <c r="C26" s="13" t="s">
        <v>101</v>
      </c>
      <c r="D26" s="9" t="n">
        <v>45717</v>
      </c>
      <c r="E26" s="26" t="n">
        <v>60.86</v>
      </c>
      <c r="F26" s="26" t="n">
        <v>60.9</v>
      </c>
      <c r="G26" s="11" t="n">
        <f aca="false">IF(E26=0,"",F26/E26)</f>
        <v>1.00065724613868</v>
      </c>
      <c r="H26" s="27" t="n">
        <v>16735.28</v>
      </c>
      <c r="I26" s="27" t="n">
        <v>16747.5</v>
      </c>
      <c r="J26" s="27" t="n">
        <v>16747.5</v>
      </c>
      <c r="K26" s="11" t="n">
        <f aca="false">IF(I26=0,"",J26/I26)</f>
        <v>1</v>
      </c>
    </row>
    <row r="27" customFormat="false" ht="15" hidden="false" customHeight="false" outlineLevel="0" collapsed="false">
      <c r="A27" s="13" t="s">
        <v>44</v>
      </c>
      <c r="B27" s="13" t="s">
        <v>45</v>
      </c>
      <c r="C27" s="13" t="s">
        <v>102</v>
      </c>
      <c r="D27" s="9" t="n">
        <v>45717</v>
      </c>
      <c r="E27" s="26" t="n">
        <v>18.03</v>
      </c>
      <c r="F27" s="26" t="n">
        <v>14</v>
      </c>
      <c r="G27" s="11" t="n">
        <f aca="false">IF(E27=0,"",F27/E27)</f>
        <v>0.776483638380477</v>
      </c>
      <c r="H27" s="27" t="n">
        <v>6942.04</v>
      </c>
      <c r="I27" s="27" t="n">
        <v>5390</v>
      </c>
      <c r="J27" s="27" t="n">
        <v>5390</v>
      </c>
      <c r="K27" s="11" t="n">
        <f aca="false">IF(I27=0,"",J27/I27)</f>
        <v>1</v>
      </c>
    </row>
    <row r="28" customFormat="false" ht="15" hidden="false" customHeight="false" outlineLevel="0" collapsed="false">
      <c r="A28" s="13" t="s">
        <v>44</v>
      </c>
      <c r="B28" s="13" t="s">
        <v>45</v>
      </c>
      <c r="C28" s="13" t="s">
        <v>99</v>
      </c>
      <c r="D28" s="9" t="n">
        <v>45748</v>
      </c>
      <c r="E28" s="26" t="n">
        <v>80.71</v>
      </c>
      <c r="F28" s="26" t="n">
        <v>62.1</v>
      </c>
      <c r="G28" s="11" t="n">
        <f aca="false">IF(E28=0,"",F28/E28)</f>
        <v>0.769421385206294</v>
      </c>
      <c r="H28" s="27" t="n">
        <v>12510.39</v>
      </c>
      <c r="I28" s="27" t="n">
        <v>9625.5</v>
      </c>
      <c r="J28" s="27" t="n">
        <v>10959.5</v>
      </c>
      <c r="K28" s="11" t="n">
        <f aca="false">IF(I28=0,"",J28/I28)</f>
        <v>1.13859020310633</v>
      </c>
    </row>
    <row r="29" customFormat="false" ht="15" hidden="false" customHeight="false" outlineLevel="0" collapsed="false">
      <c r="A29" s="13" t="s">
        <v>44</v>
      </c>
      <c r="B29" s="13" t="s">
        <v>45</v>
      </c>
      <c r="C29" s="13" t="s">
        <v>100</v>
      </c>
      <c r="D29" s="9" t="n">
        <v>45748</v>
      </c>
      <c r="E29" s="26" t="n">
        <v>97.28</v>
      </c>
      <c r="F29" s="26" t="n">
        <v>77.1</v>
      </c>
      <c r="G29" s="11" t="n">
        <f aca="false">IF(E29=0,"",F29/E29)</f>
        <v>0.792557565789474</v>
      </c>
      <c r="H29" s="27" t="n">
        <v>20429.43</v>
      </c>
      <c r="I29" s="27" t="n">
        <v>16191</v>
      </c>
      <c r="J29" s="27" t="n">
        <v>16191</v>
      </c>
      <c r="K29" s="11" t="n">
        <f aca="false">IF(I29=0,"",J29/I29)</f>
        <v>1</v>
      </c>
    </row>
    <row r="30" customFormat="false" ht="15" hidden="false" customHeight="false" outlineLevel="0" collapsed="false">
      <c r="A30" s="13" t="s">
        <v>44</v>
      </c>
      <c r="B30" s="13" t="s">
        <v>45</v>
      </c>
      <c r="C30" s="13" t="s">
        <v>101</v>
      </c>
      <c r="D30" s="9" t="n">
        <v>45748</v>
      </c>
      <c r="E30" s="26" t="n">
        <v>45.65</v>
      </c>
      <c r="F30" s="26" t="n">
        <v>42.3</v>
      </c>
      <c r="G30" s="11" t="n">
        <f aca="false">IF(E30=0,"",F30/E30)</f>
        <v>0.926615553121577</v>
      </c>
      <c r="H30" s="27" t="n">
        <v>12554.92</v>
      </c>
      <c r="I30" s="27" t="n">
        <v>11632.5</v>
      </c>
      <c r="J30" s="27" t="n">
        <v>11632.5</v>
      </c>
      <c r="K30" s="11" t="n">
        <f aca="false">IF(I30=0,"",J30/I30)</f>
        <v>1</v>
      </c>
    </row>
    <row r="31" customFormat="false" ht="15" hidden="false" customHeight="false" outlineLevel="0" collapsed="false">
      <c r="A31" s="13" t="s">
        <v>44</v>
      </c>
      <c r="B31" s="13" t="s">
        <v>45</v>
      </c>
      <c r="C31" s="13" t="s">
        <v>102</v>
      </c>
      <c r="D31" s="9" t="n">
        <v>45748</v>
      </c>
      <c r="E31" s="26" t="n">
        <v>13.53</v>
      </c>
      <c r="F31" s="26" t="n">
        <v>10.1</v>
      </c>
      <c r="G31" s="11" t="n">
        <f aca="false">IF(E31=0,"",F31/E31)</f>
        <v>0.746489283074649</v>
      </c>
      <c r="H31" s="27" t="n">
        <v>5207.97</v>
      </c>
      <c r="I31" s="27" t="n">
        <v>3888.5</v>
      </c>
      <c r="J31" s="27" t="n">
        <v>3888.5</v>
      </c>
      <c r="K31" s="11" t="n">
        <f aca="false">IF(I31=0,"",J31/I31)</f>
        <v>1</v>
      </c>
    </row>
    <row r="32" customFormat="false" ht="15" hidden="false" customHeight="false" outlineLevel="0" collapsed="false">
      <c r="A32" s="13" t="s">
        <v>44</v>
      </c>
      <c r="B32" s="13" t="s">
        <v>45</v>
      </c>
      <c r="C32" s="13" t="s">
        <v>99</v>
      </c>
      <c r="D32" s="9" t="n">
        <v>45778</v>
      </c>
      <c r="E32" s="26" t="n">
        <v>47.2</v>
      </c>
      <c r="F32" s="26" t="n">
        <v>41.1</v>
      </c>
      <c r="G32" s="11" t="n">
        <f aca="false">IF(E32=0,"",F32/E32)</f>
        <v>0.870762711864407</v>
      </c>
      <c r="H32" s="27" t="n">
        <v>7316.05</v>
      </c>
      <c r="I32" s="27" t="n">
        <v>6370.5</v>
      </c>
      <c r="J32" s="27" t="n">
        <v>7030.5</v>
      </c>
      <c r="K32" s="11" t="n">
        <f aca="false">IF(I32=0,"",J32/I32)</f>
        <v>1.10360254297151</v>
      </c>
    </row>
    <row r="33" customFormat="false" ht="15" hidden="false" customHeight="false" outlineLevel="0" collapsed="false">
      <c r="A33" s="13" t="s">
        <v>44</v>
      </c>
      <c r="B33" s="13" t="s">
        <v>45</v>
      </c>
      <c r="C33" s="13" t="s">
        <v>100</v>
      </c>
      <c r="D33" s="9" t="n">
        <v>45778</v>
      </c>
      <c r="E33" s="26" t="n">
        <v>56.89</v>
      </c>
      <c r="F33" s="26" t="n">
        <v>42.9</v>
      </c>
      <c r="G33" s="11" t="n">
        <f aca="false">IF(E33=0,"",F33/E33)</f>
        <v>0.754086834241519</v>
      </c>
      <c r="H33" s="27" t="n">
        <v>11947.1</v>
      </c>
      <c r="I33" s="27" t="n">
        <v>9009</v>
      </c>
      <c r="J33" s="27" t="n">
        <v>9009</v>
      </c>
      <c r="K33" s="11" t="n">
        <f aca="false">IF(I33=0,"",J33/I33)</f>
        <v>1</v>
      </c>
    </row>
    <row r="34" customFormat="false" ht="15" hidden="false" customHeight="false" outlineLevel="0" collapsed="false">
      <c r="A34" s="13" t="s">
        <v>44</v>
      </c>
      <c r="B34" s="13" t="s">
        <v>45</v>
      </c>
      <c r="C34" s="13" t="s">
        <v>101</v>
      </c>
      <c r="D34" s="9" t="n">
        <v>45778</v>
      </c>
      <c r="E34" s="26" t="n">
        <v>26.7</v>
      </c>
      <c r="F34" s="26" t="n">
        <v>21.7</v>
      </c>
      <c r="G34" s="11" t="n">
        <f aca="false">IF(E34=0,"",F34/E34)</f>
        <v>0.812734082397004</v>
      </c>
      <c r="H34" s="27" t="n">
        <v>7342.09</v>
      </c>
      <c r="I34" s="27" t="n">
        <v>5967.5</v>
      </c>
      <c r="J34" s="27" t="n">
        <v>5967.5</v>
      </c>
      <c r="K34" s="11" t="n">
        <f aca="false">IF(I34=0,"",J34/I34)</f>
        <v>1</v>
      </c>
    </row>
    <row r="35" customFormat="false" ht="15" hidden="false" customHeight="false" outlineLevel="0" collapsed="false">
      <c r="A35" s="13" t="s">
        <v>44</v>
      </c>
      <c r="B35" s="13" t="s">
        <v>45</v>
      </c>
      <c r="C35" s="13" t="s">
        <v>102</v>
      </c>
      <c r="D35" s="9" t="n">
        <v>45778</v>
      </c>
      <c r="E35" s="26" t="n">
        <v>7.91</v>
      </c>
      <c r="F35" s="26" t="n">
        <v>4.5</v>
      </c>
      <c r="G35" s="11" t="n">
        <f aca="false">IF(E35=0,"",F35/E35)</f>
        <v>0.56890012642225</v>
      </c>
      <c r="H35" s="27" t="n">
        <v>3045.61</v>
      </c>
      <c r="I35" s="27" t="n">
        <v>1732.5</v>
      </c>
      <c r="J35" s="27" t="n">
        <v>945</v>
      </c>
      <c r="K35" s="11" t="n">
        <f aca="false">IF(I35=0,"",J35/I35)</f>
        <v>0.545454545454545</v>
      </c>
    </row>
    <row r="36" customFormat="false" ht="15" hidden="false" customHeight="false" outlineLevel="0" collapsed="false">
      <c r="A36" s="13" t="s">
        <v>49</v>
      </c>
      <c r="B36" s="13" t="s">
        <v>50</v>
      </c>
      <c r="C36" s="13" t="s">
        <v>99</v>
      </c>
      <c r="D36" s="9" t="n">
        <v>45597</v>
      </c>
      <c r="E36" s="26" t="n">
        <v>22.18</v>
      </c>
      <c r="F36" s="26" t="n">
        <v>21.5</v>
      </c>
      <c r="G36" s="11" t="n">
        <f aca="false">IF(E36=0,"",F36/E36)</f>
        <v>0.969341749323715</v>
      </c>
      <c r="H36" s="27" t="n">
        <v>3437.14</v>
      </c>
      <c r="I36" s="27" t="n">
        <v>3332.5</v>
      </c>
      <c r="J36" s="27" t="n">
        <v>3332.5</v>
      </c>
      <c r="K36" s="11" t="n">
        <f aca="false">IF(I36=0,"",J36/I36)</f>
        <v>1</v>
      </c>
    </row>
    <row r="37" customFormat="false" ht="15" hidden="false" customHeight="false" outlineLevel="0" collapsed="false">
      <c r="A37" s="13" t="s">
        <v>49</v>
      </c>
      <c r="B37" s="13" t="s">
        <v>50</v>
      </c>
      <c r="C37" s="13" t="s">
        <v>100</v>
      </c>
      <c r="D37" s="9" t="n">
        <v>45597</v>
      </c>
      <c r="E37" s="26" t="n">
        <v>30.53</v>
      </c>
      <c r="F37" s="26" t="n">
        <v>28.7</v>
      </c>
      <c r="G37" s="11" t="n">
        <f aca="false">IF(E37=0,"",F37/E37)</f>
        <v>0.940058958401572</v>
      </c>
      <c r="H37" s="27" t="n">
        <v>6412.19</v>
      </c>
      <c r="I37" s="27" t="n">
        <v>6027</v>
      </c>
      <c r="J37" s="27" t="n">
        <v>6027</v>
      </c>
      <c r="K37" s="11" t="n">
        <f aca="false">IF(I37=0,"",J37/I37)</f>
        <v>1</v>
      </c>
    </row>
    <row r="38" customFormat="false" ht="15" hidden="false" customHeight="false" outlineLevel="0" collapsed="false">
      <c r="A38" s="13" t="s">
        <v>49</v>
      </c>
      <c r="B38" s="13" t="s">
        <v>50</v>
      </c>
      <c r="C38" s="13" t="s">
        <v>101</v>
      </c>
      <c r="D38" s="9" t="n">
        <v>45597</v>
      </c>
      <c r="E38" s="26" t="n">
        <v>10.33</v>
      </c>
      <c r="F38" s="26" t="n">
        <v>9.6</v>
      </c>
      <c r="G38" s="11" t="n">
        <f aca="false">IF(E38=0,"",F38/E38)</f>
        <v>0.929332042594385</v>
      </c>
      <c r="H38" s="27" t="n">
        <v>2841.54</v>
      </c>
      <c r="I38" s="27" t="n">
        <v>2640</v>
      </c>
      <c r="J38" s="27" t="n">
        <v>2640</v>
      </c>
      <c r="K38" s="11" t="n">
        <f aca="false">IF(I38=0,"",J38/I38)</f>
        <v>1</v>
      </c>
    </row>
    <row r="39" customFormat="false" ht="15" hidden="false" customHeight="false" outlineLevel="0" collapsed="false">
      <c r="A39" s="13" t="s">
        <v>49</v>
      </c>
      <c r="B39" s="13" t="s">
        <v>50</v>
      </c>
      <c r="C39" s="13" t="s">
        <v>102</v>
      </c>
      <c r="D39" s="9" t="n">
        <v>45597</v>
      </c>
      <c r="E39" s="26" t="n">
        <v>4.24</v>
      </c>
      <c r="F39" s="26" t="n">
        <v>3.9</v>
      </c>
      <c r="G39" s="11" t="n">
        <f aca="false">IF(E39=0,"",F39/E39)</f>
        <v>0.919811320754717</v>
      </c>
      <c r="H39" s="27" t="n">
        <v>1631.49</v>
      </c>
      <c r="I39" s="27" t="n">
        <v>1501.5</v>
      </c>
      <c r="J39" s="27" t="n">
        <v>1501.5</v>
      </c>
      <c r="K39" s="11" t="n">
        <f aca="false">IF(I39=0,"",J39/I39)</f>
        <v>1</v>
      </c>
    </row>
    <row r="40" customFormat="false" ht="15" hidden="false" customHeight="false" outlineLevel="0" collapsed="false">
      <c r="A40" s="13" t="s">
        <v>49</v>
      </c>
      <c r="B40" s="13" t="s">
        <v>50</v>
      </c>
      <c r="C40" s="13" t="s">
        <v>99</v>
      </c>
      <c r="D40" s="9" t="n">
        <v>45627</v>
      </c>
      <c r="E40" s="26" t="n">
        <v>36.06</v>
      </c>
      <c r="F40" s="26" t="n">
        <v>36.1</v>
      </c>
      <c r="G40" s="11" t="n">
        <f aca="false">IF(E40=0,"",F40/E40)</f>
        <v>1.00110926234054</v>
      </c>
      <c r="H40" s="27" t="n">
        <v>5589.5</v>
      </c>
      <c r="I40" s="27" t="n">
        <v>5595.5</v>
      </c>
      <c r="J40" s="27" t="n">
        <v>5595.5</v>
      </c>
      <c r="K40" s="11" t="n">
        <f aca="false">IF(I40=0,"",J40/I40)</f>
        <v>1</v>
      </c>
    </row>
    <row r="41" customFormat="false" ht="15" hidden="false" customHeight="false" outlineLevel="0" collapsed="false">
      <c r="A41" s="13" t="s">
        <v>49</v>
      </c>
      <c r="B41" s="13" t="s">
        <v>50</v>
      </c>
      <c r="C41" s="13" t="s">
        <v>100</v>
      </c>
      <c r="D41" s="9" t="n">
        <v>45627</v>
      </c>
      <c r="E41" s="26" t="n">
        <v>49.66</v>
      </c>
      <c r="F41" s="26" t="n">
        <v>39.4</v>
      </c>
      <c r="G41" s="11" t="n">
        <f aca="false">IF(E41=0,"",F41/E41)</f>
        <v>0.793395086588804</v>
      </c>
      <c r="H41" s="27" t="n">
        <v>10427.57</v>
      </c>
      <c r="I41" s="27" t="n">
        <v>8274</v>
      </c>
      <c r="J41" s="27" t="n">
        <v>8274</v>
      </c>
      <c r="K41" s="11" t="n">
        <f aca="false">IF(I41=0,"",J41/I41)</f>
        <v>1</v>
      </c>
    </row>
    <row r="42" customFormat="false" ht="15" hidden="false" customHeight="false" outlineLevel="0" collapsed="false">
      <c r="A42" s="13" t="s">
        <v>49</v>
      </c>
      <c r="B42" s="13" t="s">
        <v>50</v>
      </c>
      <c r="C42" s="13" t="s">
        <v>101</v>
      </c>
      <c r="D42" s="9" t="n">
        <v>45627</v>
      </c>
      <c r="E42" s="26" t="n">
        <v>16.8</v>
      </c>
      <c r="F42" s="26" t="n">
        <v>10.9</v>
      </c>
      <c r="G42" s="11" t="n">
        <f aca="false">IF(E42=0,"",F42/E42)</f>
        <v>0.648809523809524</v>
      </c>
      <c r="H42" s="27" t="n">
        <v>4620.94</v>
      </c>
      <c r="I42" s="27" t="n">
        <v>2997.5</v>
      </c>
      <c r="J42" s="27" t="n">
        <v>2997.5</v>
      </c>
      <c r="K42" s="11" t="n">
        <f aca="false">IF(I42=0,"",J42/I42)</f>
        <v>1</v>
      </c>
    </row>
    <row r="43" customFormat="false" ht="15" hidden="false" customHeight="false" outlineLevel="0" collapsed="false">
      <c r="A43" s="13" t="s">
        <v>49</v>
      </c>
      <c r="B43" s="13" t="s">
        <v>50</v>
      </c>
      <c r="C43" s="13" t="s">
        <v>102</v>
      </c>
      <c r="D43" s="9" t="n">
        <v>45627</v>
      </c>
      <c r="E43" s="26" t="n">
        <v>6.89</v>
      </c>
      <c r="F43" s="26" t="n">
        <v>2.2</v>
      </c>
      <c r="G43" s="11" t="n">
        <f aca="false">IF(E43=0,"",F43/E43)</f>
        <v>0.319303338171263</v>
      </c>
      <c r="H43" s="27" t="n">
        <v>2653.15</v>
      </c>
      <c r="I43" s="27" t="n">
        <v>847</v>
      </c>
      <c r="J43" s="27" t="n">
        <v>847</v>
      </c>
      <c r="K43" s="11" t="n">
        <f aca="false">IF(I43=0,"",J43/I43)</f>
        <v>1</v>
      </c>
    </row>
    <row r="44" customFormat="false" ht="15" hidden="false" customHeight="false" outlineLevel="0" collapsed="false">
      <c r="A44" s="13" t="s">
        <v>49</v>
      </c>
      <c r="B44" s="13" t="s">
        <v>50</v>
      </c>
      <c r="C44" s="13" t="s">
        <v>99</v>
      </c>
      <c r="D44" s="9" t="n">
        <v>45658</v>
      </c>
      <c r="E44" s="26" t="n">
        <v>47.83</v>
      </c>
      <c r="F44" s="26" t="n">
        <v>39.8</v>
      </c>
      <c r="G44" s="11" t="n">
        <f aca="false">IF(E44=0,"",F44/E44)</f>
        <v>0.832113736148861</v>
      </c>
      <c r="H44" s="27" t="n">
        <v>7414.19</v>
      </c>
      <c r="I44" s="27" t="n">
        <v>6169</v>
      </c>
      <c r="J44" s="27" t="n">
        <v>6169</v>
      </c>
      <c r="K44" s="11" t="n">
        <f aca="false">IF(I44=0,"",J44/I44)</f>
        <v>1</v>
      </c>
    </row>
    <row r="45" customFormat="false" ht="15" hidden="false" customHeight="false" outlineLevel="0" collapsed="false">
      <c r="A45" s="13" t="s">
        <v>49</v>
      </c>
      <c r="B45" s="13" t="s">
        <v>50</v>
      </c>
      <c r="C45" s="13" t="s">
        <v>100</v>
      </c>
      <c r="D45" s="9" t="n">
        <v>45658</v>
      </c>
      <c r="E45" s="26" t="n">
        <v>65.86</v>
      </c>
      <c r="F45" s="26" t="n">
        <v>44.7</v>
      </c>
      <c r="G45" s="11" t="n">
        <f aca="false">IF(E45=0,"",F45/E45)</f>
        <v>0.678712420285454</v>
      </c>
      <c r="H45" s="27" t="n">
        <v>13831.64</v>
      </c>
      <c r="I45" s="27" t="n">
        <v>9387</v>
      </c>
      <c r="J45" s="27" t="n">
        <v>9387</v>
      </c>
      <c r="K45" s="11" t="n">
        <f aca="false">IF(I45=0,"",J45/I45)</f>
        <v>1</v>
      </c>
    </row>
    <row r="46" customFormat="false" ht="15" hidden="false" customHeight="false" outlineLevel="0" collapsed="false">
      <c r="A46" s="13" t="s">
        <v>49</v>
      </c>
      <c r="B46" s="13" t="s">
        <v>50</v>
      </c>
      <c r="C46" s="13" t="s">
        <v>101</v>
      </c>
      <c r="D46" s="9" t="n">
        <v>45658</v>
      </c>
      <c r="E46" s="26" t="n">
        <v>22.29</v>
      </c>
      <c r="F46" s="26" t="n">
        <v>18.5</v>
      </c>
      <c r="G46" s="11" t="n">
        <f aca="false">IF(E46=0,"",F46/E46)</f>
        <v>0.829968595782862</v>
      </c>
      <c r="H46" s="27" t="n">
        <v>6129.45</v>
      </c>
      <c r="I46" s="27" t="n">
        <v>5087.5</v>
      </c>
      <c r="J46" s="27" t="n">
        <v>5087.5</v>
      </c>
      <c r="K46" s="11" t="n">
        <f aca="false">IF(I46=0,"",J46/I46)</f>
        <v>1</v>
      </c>
    </row>
    <row r="47" customFormat="false" ht="15" hidden="false" customHeight="false" outlineLevel="0" collapsed="false">
      <c r="A47" s="13" t="s">
        <v>49</v>
      </c>
      <c r="B47" s="13" t="s">
        <v>50</v>
      </c>
      <c r="C47" s="13" t="s">
        <v>102</v>
      </c>
      <c r="D47" s="9" t="n">
        <v>45658</v>
      </c>
      <c r="E47" s="26" t="n">
        <v>9.14</v>
      </c>
      <c r="F47" s="26" t="n">
        <v>9.1</v>
      </c>
      <c r="G47" s="11" t="n">
        <f aca="false">IF(E47=0,"",F47/E47)</f>
        <v>0.99562363238512</v>
      </c>
      <c r="H47" s="27" t="n">
        <v>3519.27</v>
      </c>
      <c r="I47" s="27" t="n">
        <v>3503.5</v>
      </c>
      <c r="J47" s="27" t="n">
        <v>3503.5</v>
      </c>
      <c r="K47" s="11" t="n">
        <f aca="false">IF(I47=0,"",J47/I47)</f>
        <v>1</v>
      </c>
    </row>
    <row r="48" customFormat="false" ht="15" hidden="false" customHeight="false" outlineLevel="0" collapsed="false">
      <c r="A48" s="13" t="s">
        <v>49</v>
      </c>
      <c r="B48" s="13" t="s">
        <v>50</v>
      </c>
      <c r="C48" s="13" t="s">
        <v>99</v>
      </c>
      <c r="D48" s="9" t="n">
        <v>45689</v>
      </c>
      <c r="E48" s="26" t="n">
        <v>55.7</v>
      </c>
      <c r="F48" s="26" t="n">
        <v>44.8</v>
      </c>
      <c r="G48" s="11" t="n">
        <f aca="false">IF(E48=0,"",F48/E48)</f>
        <v>0.804308797127469</v>
      </c>
      <c r="H48" s="27" t="n">
        <v>8633.41</v>
      </c>
      <c r="I48" s="27" t="n">
        <v>6944</v>
      </c>
      <c r="J48" s="27" t="n">
        <v>6944</v>
      </c>
      <c r="K48" s="11" t="n">
        <f aca="false">IF(I48=0,"",J48/I48)</f>
        <v>1</v>
      </c>
    </row>
    <row r="49" customFormat="false" ht="15" hidden="false" customHeight="false" outlineLevel="0" collapsed="false">
      <c r="A49" s="13" t="s">
        <v>49</v>
      </c>
      <c r="B49" s="13" t="s">
        <v>50</v>
      </c>
      <c r="C49" s="13" t="s">
        <v>100</v>
      </c>
      <c r="D49" s="9" t="n">
        <v>45689</v>
      </c>
      <c r="E49" s="26" t="n">
        <v>76.7</v>
      </c>
      <c r="F49" s="26" t="n">
        <v>64.4</v>
      </c>
      <c r="G49" s="11" t="n">
        <f aca="false">IF(E49=0,"",F49/E49)</f>
        <v>0.839634941329857</v>
      </c>
      <c r="H49" s="27" t="n">
        <v>16106.16</v>
      </c>
      <c r="I49" s="27" t="n">
        <v>13524</v>
      </c>
      <c r="J49" s="27" t="n">
        <v>13524</v>
      </c>
      <c r="K49" s="11" t="n">
        <f aca="false">IF(I49=0,"",J49/I49)</f>
        <v>1</v>
      </c>
    </row>
    <row r="50" customFormat="false" ht="15" hidden="false" customHeight="false" outlineLevel="0" collapsed="false">
      <c r="A50" s="13" t="s">
        <v>49</v>
      </c>
      <c r="B50" s="13" t="s">
        <v>50</v>
      </c>
      <c r="C50" s="13" t="s">
        <v>101</v>
      </c>
      <c r="D50" s="9" t="n">
        <v>45689</v>
      </c>
      <c r="E50" s="26" t="n">
        <v>25.95</v>
      </c>
      <c r="F50" s="26" t="n">
        <v>24.4</v>
      </c>
      <c r="G50" s="11" t="n">
        <f aca="false">IF(E50=0,"",F50/E50)</f>
        <v>0.940269749518304</v>
      </c>
      <c r="H50" s="27" t="n">
        <v>7137.4</v>
      </c>
      <c r="I50" s="27" t="n">
        <v>6710</v>
      </c>
      <c r="J50" s="27" t="n">
        <v>6710</v>
      </c>
      <c r="K50" s="11" t="n">
        <f aca="false">IF(I50=0,"",J50/I50)</f>
        <v>1</v>
      </c>
    </row>
    <row r="51" customFormat="false" ht="15" hidden="false" customHeight="false" outlineLevel="0" collapsed="false">
      <c r="A51" s="13" t="s">
        <v>49</v>
      </c>
      <c r="B51" s="13" t="s">
        <v>50</v>
      </c>
      <c r="C51" s="13" t="s">
        <v>102</v>
      </c>
      <c r="D51" s="9" t="n">
        <v>45689</v>
      </c>
      <c r="E51" s="26" t="n">
        <v>10.64</v>
      </c>
      <c r="F51" s="26" t="n">
        <v>7.7</v>
      </c>
      <c r="G51" s="11" t="n">
        <f aca="false">IF(E51=0,"",F51/E51)</f>
        <v>0.723684210526316</v>
      </c>
      <c r="H51" s="27" t="n">
        <v>4097.99</v>
      </c>
      <c r="I51" s="27" t="n">
        <v>2964.5</v>
      </c>
      <c r="J51" s="27" t="n">
        <v>2964.5</v>
      </c>
      <c r="K51" s="11" t="n">
        <f aca="false">IF(I51=0,"",J51/I51)</f>
        <v>1</v>
      </c>
    </row>
    <row r="52" customFormat="false" ht="15" hidden="false" customHeight="false" outlineLevel="0" collapsed="false">
      <c r="A52" s="13" t="s">
        <v>49</v>
      </c>
      <c r="B52" s="13" t="s">
        <v>50</v>
      </c>
      <c r="C52" s="13" t="s">
        <v>99</v>
      </c>
      <c r="D52" s="9" t="n">
        <v>45717</v>
      </c>
      <c r="E52" s="26" t="n">
        <v>58.46</v>
      </c>
      <c r="F52" s="26" t="n">
        <v>46.4</v>
      </c>
      <c r="G52" s="11" t="n">
        <f aca="false">IF(E52=0,"",F52/E52)</f>
        <v>0.793705097502566</v>
      </c>
      <c r="H52" s="27" t="n">
        <v>9061.54</v>
      </c>
      <c r="I52" s="27" t="n">
        <v>7192</v>
      </c>
      <c r="J52" s="27" t="n">
        <v>7192</v>
      </c>
      <c r="K52" s="11" t="n">
        <f aca="false">IF(I52=0,"",J52/I52)</f>
        <v>1</v>
      </c>
    </row>
    <row r="53" customFormat="false" ht="15" hidden="false" customHeight="false" outlineLevel="0" collapsed="false">
      <c r="A53" s="13" t="s">
        <v>49</v>
      </c>
      <c r="B53" s="13" t="s">
        <v>50</v>
      </c>
      <c r="C53" s="13" t="s">
        <v>100</v>
      </c>
      <c r="D53" s="9" t="n">
        <v>45717</v>
      </c>
      <c r="E53" s="26" t="n">
        <v>80.5</v>
      </c>
      <c r="F53" s="26" t="n">
        <v>72.4</v>
      </c>
      <c r="G53" s="11" t="n">
        <f aca="false">IF(E53=0,"",F53/E53)</f>
        <v>0.899378881987578</v>
      </c>
      <c r="H53" s="27" t="n">
        <v>16904.87</v>
      </c>
      <c r="I53" s="27" t="n">
        <v>15204</v>
      </c>
      <c r="J53" s="27" t="n">
        <v>15204</v>
      </c>
      <c r="K53" s="11" t="n">
        <f aca="false">IF(I53=0,"",J53/I53)</f>
        <v>1</v>
      </c>
    </row>
    <row r="54" customFormat="false" ht="15" hidden="false" customHeight="false" outlineLevel="0" collapsed="false">
      <c r="A54" s="13" t="s">
        <v>49</v>
      </c>
      <c r="B54" s="13" t="s">
        <v>50</v>
      </c>
      <c r="C54" s="13" t="s">
        <v>101</v>
      </c>
      <c r="D54" s="9" t="n">
        <v>45717</v>
      </c>
      <c r="E54" s="26" t="n">
        <v>27.24</v>
      </c>
      <c r="F54" s="26" t="n">
        <v>27</v>
      </c>
      <c r="G54" s="11" t="n">
        <f aca="false">IF(E54=0,"",F54/E54)</f>
        <v>0.991189427312775</v>
      </c>
      <c r="H54" s="27" t="n">
        <v>7491.34</v>
      </c>
      <c r="I54" s="27" t="n">
        <v>7425</v>
      </c>
      <c r="J54" s="27" t="n">
        <v>8074</v>
      </c>
      <c r="K54" s="11" t="n">
        <f aca="false">IF(I54=0,"",J54/I54)</f>
        <v>1.08740740740741</v>
      </c>
    </row>
    <row r="55" customFormat="false" ht="15" hidden="false" customHeight="false" outlineLevel="0" collapsed="false">
      <c r="A55" s="13" t="s">
        <v>49</v>
      </c>
      <c r="B55" s="13" t="s">
        <v>50</v>
      </c>
      <c r="C55" s="13" t="s">
        <v>102</v>
      </c>
      <c r="D55" s="9" t="n">
        <v>45717</v>
      </c>
      <c r="E55" s="26" t="n">
        <v>11.17</v>
      </c>
      <c r="F55" s="26" t="n">
        <v>8.9</v>
      </c>
      <c r="G55" s="11" t="n">
        <f aca="false">IF(E55=0,"",F55/E55)</f>
        <v>0.796777081468219</v>
      </c>
      <c r="H55" s="27" t="n">
        <v>4301.21</v>
      </c>
      <c r="I55" s="27" t="n">
        <v>3426.5</v>
      </c>
      <c r="J55" s="27" t="n">
        <v>3426.5</v>
      </c>
      <c r="K55" s="11" t="n">
        <f aca="false">IF(I55=0,"",J55/I55)</f>
        <v>1</v>
      </c>
    </row>
    <row r="56" customFormat="false" ht="15" hidden="false" customHeight="false" outlineLevel="0" collapsed="false">
      <c r="A56" s="13" t="s">
        <v>49</v>
      </c>
      <c r="B56" s="13" t="s">
        <v>50</v>
      </c>
      <c r="C56" s="13" t="s">
        <v>99</v>
      </c>
      <c r="D56" s="9" t="n">
        <v>45748</v>
      </c>
      <c r="E56" s="26" t="n">
        <v>55.7</v>
      </c>
      <c r="F56" s="26" t="n">
        <v>41.8</v>
      </c>
      <c r="G56" s="11" t="n">
        <f aca="false">IF(E56=0,"",F56/E56)</f>
        <v>0.750448833034111</v>
      </c>
      <c r="H56" s="27" t="n">
        <v>8633.41</v>
      </c>
      <c r="I56" s="27" t="n">
        <v>6479</v>
      </c>
      <c r="J56" s="27" t="n">
        <v>6479</v>
      </c>
      <c r="K56" s="11" t="n">
        <f aca="false">IF(I56=0,"",J56/I56)</f>
        <v>1</v>
      </c>
    </row>
    <row r="57" customFormat="false" ht="15" hidden="false" customHeight="false" outlineLevel="0" collapsed="false">
      <c r="A57" s="13" t="s">
        <v>49</v>
      </c>
      <c r="B57" s="13" t="s">
        <v>50</v>
      </c>
      <c r="C57" s="13" t="s">
        <v>100</v>
      </c>
      <c r="D57" s="9" t="n">
        <v>45748</v>
      </c>
      <c r="E57" s="26" t="n">
        <v>76.7</v>
      </c>
      <c r="F57" s="26" t="n">
        <v>68.1</v>
      </c>
      <c r="G57" s="11" t="n">
        <f aca="false">IF(E57=0,"",F57/E57)</f>
        <v>0.887874837027379</v>
      </c>
      <c r="H57" s="27" t="n">
        <v>16106.16</v>
      </c>
      <c r="I57" s="27" t="n">
        <v>14301</v>
      </c>
      <c r="J57" s="27" t="n">
        <v>14301</v>
      </c>
      <c r="K57" s="11" t="n">
        <f aca="false">IF(I57=0,"",J57/I57)</f>
        <v>1</v>
      </c>
    </row>
    <row r="58" customFormat="false" ht="15" hidden="false" customHeight="false" outlineLevel="0" collapsed="false">
      <c r="A58" s="13" t="s">
        <v>49</v>
      </c>
      <c r="B58" s="13" t="s">
        <v>50</v>
      </c>
      <c r="C58" s="13" t="s">
        <v>101</v>
      </c>
      <c r="D58" s="9" t="n">
        <v>45748</v>
      </c>
      <c r="E58" s="26" t="n">
        <v>25.95</v>
      </c>
      <c r="F58" s="26" t="n">
        <v>24.7</v>
      </c>
      <c r="G58" s="11" t="n">
        <f aca="false">IF(E58=0,"",F58/E58)</f>
        <v>0.951830443159923</v>
      </c>
      <c r="H58" s="27" t="n">
        <v>7137.4</v>
      </c>
      <c r="I58" s="27" t="n">
        <v>6792.5</v>
      </c>
      <c r="J58" s="27" t="n">
        <v>6792.5</v>
      </c>
      <c r="K58" s="11" t="n">
        <f aca="false">IF(I58=0,"",J58/I58)</f>
        <v>1</v>
      </c>
    </row>
    <row r="59" customFormat="false" ht="15" hidden="false" customHeight="false" outlineLevel="0" collapsed="false">
      <c r="A59" s="13" t="s">
        <v>49</v>
      </c>
      <c r="B59" s="13" t="s">
        <v>50</v>
      </c>
      <c r="C59" s="13" t="s">
        <v>102</v>
      </c>
      <c r="D59" s="9" t="n">
        <v>45748</v>
      </c>
      <c r="E59" s="26" t="n">
        <v>10.64</v>
      </c>
      <c r="F59" s="26" t="n">
        <v>7.8</v>
      </c>
      <c r="G59" s="11" t="n">
        <f aca="false">IF(E59=0,"",F59/E59)</f>
        <v>0.733082706766917</v>
      </c>
      <c r="H59" s="27" t="n">
        <v>4097.99</v>
      </c>
      <c r="I59" s="27" t="n">
        <v>3003</v>
      </c>
      <c r="J59" s="27" t="n">
        <v>3003</v>
      </c>
      <c r="K59" s="11" t="n">
        <f aca="false">IF(I59=0,"",J59/I59)</f>
        <v>1</v>
      </c>
    </row>
    <row r="60" customFormat="false" ht="15" hidden="false" customHeight="false" outlineLevel="0" collapsed="false">
      <c r="A60" s="13" t="s">
        <v>49</v>
      </c>
      <c r="B60" s="13" t="s">
        <v>50</v>
      </c>
      <c r="C60" s="13" t="s">
        <v>99</v>
      </c>
      <c r="D60" s="9" t="n">
        <v>45778</v>
      </c>
      <c r="E60" s="26" t="n">
        <v>47.83</v>
      </c>
      <c r="F60" s="26" t="n">
        <v>39.1</v>
      </c>
      <c r="G60" s="11" t="n">
        <f aca="false">IF(E60=0,"",F60/E60)</f>
        <v>0.817478569935187</v>
      </c>
      <c r="H60" s="27" t="n">
        <v>7414.19</v>
      </c>
      <c r="I60" s="27" t="n">
        <v>6060.5</v>
      </c>
      <c r="J60" s="27" t="n">
        <v>6060.5</v>
      </c>
      <c r="K60" s="11" t="n">
        <f aca="false">IF(I60=0,"",J60/I60)</f>
        <v>1</v>
      </c>
    </row>
    <row r="61" customFormat="false" ht="15" hidden="false" customHeight="false" outlineLevel="0" collapsed="false">
      <c r="A61" s="13" t="s">
        <v>49</v>
      </c>
      <c r="B61" s="13" t="s">
        <v>50</v>
      </c>
      <c r="C61" s="13" t="s">
        <v>100</v>
      </c>
      <c r="D61" s="9" t="n">
        <v>45778</v>
      </c>
      <c r="E61" s="26" t="n">
        <v>65.86</v>
      </c>
      <c r="F61" s="26" t="n">
        <v>52.3</v>
      </c>
      <c r="G61" s="11" t="n">
        <f aca="false">IF(E61=0,"",F61/E61)</f>
        <v>0.79410871545703</v>
      </c>
      <c r="H61" s="27" t="n">
        <v>13831.64</v>
      </c>
      <c r="I61" s="27" t="n">
        <v>10983</v>
      </c>
      <c r="J61" s="27" t="n">
        <v>10983</v>
      </c>
      <c r="K61" s="11" t="n">
        <f aca="false">IF(I61=0,"",J61/I61)</f>
        <v>1</v>
      </c>
    </row>
    <row r="62" customFormat="false" ht="15" hidden="false" customHeight="false" outlineLevel="0" collapsed="false">
      <c r="A62" s="13" t="s">
        <v>49</v>
      </c>
      <c r="B62" s="13" t="s">
        <v>50</v>
      </c>
      <c r="C62" s="13" t="s">
        <v>101</v>
      </c>
      <c r="D62" s="9" t="n">
        <v>45778</v>
      </c>
      <c r="E62" s="26" t="n">
        <v>22.29</v>
      </c>
      <c r="F62" s="26" t="n">
        <v>19.1</v>
      </c>
      <c r="G62" s="11" t="n">
        <f aca="false">IF(E62=0,"",F62/E62)</f>
        <v>0.856886496186631</v>
      </c>
      <c r="H62" s="27" t="n">
        <v>6129.45</v>
      </c>
      <c r="I62" s="27" t="n">
        <v>5252.5</v>
      </c>
      <c r="J62" s="27" t="n">
        <v>5252.5</v>
      </c>
      <c r="K62" s="11" t="n">
        <f aca="false">IF(I62=0,"",J62/I62)</f>
        <v>1</v>
      </c>
    </row>
    <row r="63" customFormat="false" ht="15" hidden="false" customHeight="false" outlineLevel="0" collapsed="false">
      <c r="A63" s="13" t="s">
        <v>49</v>
      </c>
      <c r="B63" s="13" t="s">
        <v>50</v>
      </c>
      <c r="C63" s="13" t="s">
        <v>102</v>
      </c>
      <c r="D63" s="9" t="n">
        <v>45778</v>
      </c>
      <c r="E63" s="26" t="n">
        <v>9.14</v>
      </c>
      <c r="F63" s="26" t="n">
        <v>6.2</v>
      </c>
      <c r="G63" s="11" t="n">
        <f aca="false">IF(E63=0,"",F63/E63)</f>
        <v>0.678336980306346</v>
      </c>
      <c r="H63" s="27" t="n">
        <v>3519.27</v>
      </c>
      <c r="I63" s="27" t="n">
        <v>2387</v>
      </c>
      <c r="J63" s="27" t="n">
        <v>2387</v>
      </c>
      <c r="K63" s="11" t="n">
        <f aca="false">IF(I63=0,"",J63/I63)</f>
        <v>1</v>
      </c>
    </row>
    <row r="64" customFormat="false" ht="15" hidden="false" customHeight="false" outlineLevel="0" collapsed="false">
      <c r="A64" s="13" t="s">
        <v>49</v>
      </c>
      <c r="B64" s="13" t="s">
        <v>50</v>
      </c>
      <c r="C64" s="13" t="s">
        <v>99</v>
      </c>
      <c r="D64" s="9" t="n">
        <v>45809</v>
      </c>
      <c r="E64" s="26" t="n">
        <v>36.06</v>
      </c>
      <c r="F64" s="26" t="n">
        <v>24</v>
      </c>
      <c r="G64" s="11" t="n">
        <f aca="false">IF(E64=0,"",F64/E64)</f>
        <v>0.665557404326123</v>
      </c>
      <c r="H64" s="27" t="n">
        <v>5589.5</v>
      </c>
      <c r="I64" s="27" t="n">
        <v>3720</v>
      </c>
      <c r="J64" s="27" t="n">
        <v>3720</v>
      </c>
      <c r="K64" s="11" t="n">
        <f aca="false">IF(I64=0,"",J64/I64)</f>
        <v>1</v>
      </c>
    </row>
    <row r="65" customFormat="false" ht="15" hidden="false" customHeight="false" outlineLevel="0" collapsed="false">
      <c r="A65" s="13" t="s">
        <v>49</v>
      </c>
      <c r="B65" s="13" t="s">
        <v>50</v>
      </c>
      <c r="C65" s="13" t="s">
        <v>100</v>
      </c>
      <c r="D65" s="9" t="n">
        <v>45809</v>
      </c>
      <c r="E65" s="26" t="n">
        <v>49.66</v>
      </c>
      <c r="F65" s="26" t="n">
        <v>45.1</v>
      </c>
      <c r="G65" s="11" t="n">
        <f aca="false">IF(E65=0,"",F65/E65)</f>
        <v>0.908175594039469</v>
      </c>
      <c r="H65" s="27" t="n">
        <v>10427.57</v>
      </c>
      <c r="I65" s="27" t="n">
        <v>9471</v>
      </c>
      <c r="J65" s="27" t="n">
        <v>9471</v>
      </c>
      <c r="K65" s="11" t="n">
        <f aca="false">IF(I65=0,"",J65/I65)</f>
        <v>1</v>
      </c>
    </row>
    <row r="66" customFormat="false" ht="15" hidden="false" customHeight="false" outlineLevel="0" collapsed="false">
      <c r="A66" s="13" t="s">
        <v>49</v>
      </c>
      <c r="B66" s="13" t="s">
        <v>50</v>
      </c>
      <c r="C66" s="13" t="s">
        <v>101</v>
      </c>
      <c r="D66" s="9" t="n">
        <v>45809</v>
      </c>
      <c r="E66" s="26" t="n">
        <v>16.8</v>
      </c>
      <c r="F66" s="26" t="n">
        <v>8.6</v>
      </c>
      <c r="G66" s="11" t="n">
        <f aca="false">IF(E66=0,"",F66/E66)</f>
        <v>0.511904761904762</v>
      </c>
      <c r="H66" s="27" t="n">
        <v>4620.94</v>
      </c>
      <c r="I66" s="27" t="n">
        <v>2365</v>
      </c>
      <c r="J66" s="27" t="n">
        <v>2365</v>
      </c>
      <c r="K66" s="11" t="n">
        <f aca="false">IF(I66=0,"",J66/I66)</f>
        <v>1</v>
      </c>
    </row>
    <row r="67" customFormat="false" ht="15" hidden="false" customHeight="false" outlineLevel="0" collapsed="false">
      <c r="A67" s="13" t="s">
        <v>49</v>
      </c>
      <c r="B67" s="13" t="s">
        <v>50</v>
      </c>
      <c r="C67" s="13" t="s">
        <v>102</v>
      </c>
      <c r="D67" s="9" t="n">
        <v>45809</v>
      </c>
      <c r="E67" s="26" t="n">
        <v>6.89</v>
      </c>
      <c r="F67" s="26" t="n">
        <v>5.9</v>
      </c>
      <c r="G67" s="11" t="n">
        <f aca="false">IF(E67=0,"",F67/E67)</f>
        <v>0.856313497822932</v>
      </c>
      <c r="H67" s="27" t="n">
        <v>2653.15</v>
      </c>
      <c r="I67" s="27" t="n">
        <v>2271.5</v>
      </c>
      <c r="J67" s="27" t="n">
        <v>2271.5</v>
      </c>
      <c r="K67" s="11" t="n">
        <f aca="false">IF(I67=0,"",J67/I67)</f>
        <v>1</v>
      </c>
    </row>
    <row r="68" customFormat="false" ht="15" hidden="false" customHeight="false" outlineLevel="0" collapsed="false">
      <c r="A68" s="13" t="s">
        <v>49</v>
      </c>
      <c r="B68" s="13" t="s">
        <v>50</v>
      </c>
      <c r="C68" s="13" t="s">
        <v>99</v>
      </c>
      <c r="D68" s="9" t="n">
        <v>45839</v>
      </c>
      <c r="E68" s="26" t="n">
        <v>22.18</v>
      </c>
      <c r="F68" s="26" t="n">
        <v>12.2</v>
      </c>
      <c r="G68" s="11" t="n">
        <f aca="false">IF(E68=0,"",F68/E68)</f>
        <v>0.550045085662759</v>
      </c>
      <c r="H68" s="27" t="n">
        <v>3437.14</v>
      </c>
      <c r="I68" s="27" t="n">
        <v>1891</v>
      </c>
      <c r="J68" s="27" t="n">
        <v>1891</v>
      </c>
      <c r="K68" s="11" t="n">
        <f aca="false">IF(I68=0,"",J68/I68)</f>
        <v>1</v>
      </c>
    </row>
    <row r="69" customFormat="false" ht="15" hidden="false" customHeight="false" outlineLevel="0" collapsed="false">
      <c r="A69" s="13" t="s">
        <v>49</v>
      </c>
      <c r="B69" s="13" t="s">
        <v>50</v>
      </c>
      <c r="C69" s="13" t="s">
        <v>100</v>
      </c>
      <c r="D69" s="9" t="n">
        <v>45839</v>
      </c>
      <c r="E69" s="26" t="n">
        <v>30.53</v>
      </c>
      <c r="F69" s="26" t="n">
        <v>24</v>
      </c>
      <c r="G69" s="11" t="n">
        <f aca="false">IF(E69=0,"",F69/E69)</f>
        <v>0.786112020962987</v>
      </c>
      <c r="H69" s="27" t="n">
        <v>6412.19</v>
      </c>
      <c r="I69" s="27" t="n">
        <v>5040</v>
      </c>
      <c r="J69" s="27" t="n">
        <v>5040</v>
      </c>
      <c r="K69" s="11" t="n">
        <f aca="false">IF(I69=0,"",J69/I69)</f>
        <v>1</v>
      </c>
    </row>
    <row r="70" customFormat="false" ht="15" hidden="false" customHeight="false" outlineLevel="0" collapsed="false">
      <c r="A70" s="13" t="s">
        <v>49</v>
      </c>
      <c r="B70" s="13" t="s">
        <v>50</v>
      </c>
      <c r="C70" s="13" t="s">
        <v>101</v>
      </c>
      <c r="D70" s="9" t="n">
        <v>45839</v>
      </c>
      <c r="E70" s="26" t="n">
        <v>10.33</v>
      </c>
      <c r="F70" s="26" t="n">
        <v>10.3</v>
      </c>
      <c r="G70" s="11" t="n">
        <f aca="false">IF(E70=0,"",F70/E70)</f>
        <v>0.997095837366893</v>
      </c>
      <c r="H70" s="27" t="n">
        <v>2841.54</v>
      </c>
      <c r="I70" s="27" t="n">
        <v>2832.5</v>
      </c>
      <c r="J70" s="27" t="n">
        <v>2832.5</v>
      </c>
      <c r="K70" s="11" t="n">
        <f aca="false">IF(I70=0,"",J70/I70)</f>
        <v>1</v>
      </c>
    </row>
    <row r="71" customFormat="false" ht="15" hidden="false" customHeight="false" outlineLevel="0" collapsed="false">
      <c r="A71" s="13" t="s">
        <v>49</v>
      </c>
      <c r="B71" s="13" t="s">
        <v>50</v>
      </c>
      <c r="C71" s="13" t="s">
        <v>102</v>
      </c>
      <c r="D71" s="9" t="n">
        <v>45839</v>
      </c>
      <c r="E71" s="26" t="n">
        <v>4.24</v>
      </c>
      <c r="F71" s="26" t="n">
        <v>4.2</v>
      </c>
      <c r="G71" s="11" t="n">
        <f aca="false">IF(E71=0,"",F71/E71)</f>
        <v>0.990566037735849</v>
      </c>
      <c r="H71" s="27" t="n">
        <v>1631.49</v>
      </c>
      <c r="I71" s="27" t="n">
        <v>1617</v>
      </c>
      <c r="J71" s="27" t="n">
        <v>1617</v>
      </c>
      <c r="K71" s="11" t="n">
        <f aca="false">IF(I71=0,"",J71/I71)</f>
        <v>1</v>
      </c>
    </row>
    <row r="72" customFormat="false" ht="15" hidden="false" customHeight="false" outlineLevel="0" collapsed="false">
      <c r="A72" s="13" t="s">
        <v>53</v>
      </c>
      <c r="B72" s="13" t="s">
        <v>54</v>
      </c>
      <c r="C72" s="13" t="s">
        <v>99</v>
      </c>
      <c r="D72" s="9" t="n">
        <v>45689</v>
      </c>
      <c r="E72" s="26" t="n">
        <v>23.92</v>
      </c>
      <c r="F72" s="26" t="n">
        <v>24.5</v>
      </c>
      <c r="G72" s="11" t="n">
        <f aca="false">IF(E72=0,"",F72/E72)</f>
        <v>1.0242474916388</v>
      </c>
      <c r="H72" s="27" t="n">
        <v>3707.07</v>
      </c>
      <c r="I72" s="27" t="n">
        <v>3797.5</v>
      </c>
      <c r="J72" s="27" t="n">
        <v>3797.5</v>
      </c>
      <c r="K72" s="11" t="n">
        <f aca="false">IF(I72=0,"",J72/I72)</f>
        <v>1</v>
      </c>
    </row>
    <row r="73" customFormat="false" ht="15" hidden="false" customHeight="false" outlineLevel="0" collapsed="false">
      <c r="A73" s="13" t="s">
        <v>53</v>
      </c>
      <c r="B73" s="13" t="s">
        <v>54</v>
      </c>
      <c r="C73" s="13" t="s">
        <v>100</v>
      </c>
      <c r="D73" s="9" t="n">
        <v>45689</v>
      </c>
      <c r="E73" s="26" t="n">
        <v>33.96</v>
      </c>
      <c r="F73" s="26" t="n">
        <v>33.8</v>
      </c>
      <c r="G73" s="11" t="n">
        <f aca="false">IF(E73=0,"",F73/E73)</f>
        <v>0.995288574793875</v>
      </c>
      <c r="H73" s="27" t="n">
        <v>7131.43</v>
      </c>
      <c r="I73" s="27" t="n">
        <v>7098</v>
      </c>
      <c r="J73" s="27" t="n">
        <v>7098</v>
      </c>
      <c r="K73" s="11" t="n">
        <f aca="false">IF(I73=0,"",J73/I73)</f>
        <v>1</v>
      </c>
    </row>
    <row r="74" customFormat="false" ht="15" hidden="false" customHeight="false" outlineLevel="0" collapsed="false">
      <c r="A74" s="13" t="s">
        <v>53</v>
      </c>
      <c r="B74" s="13" t="s">
        <v>54</v>
      </c>
      <c r="C74" s="13" t="s">
        <v>101</v>
      </c>
      <c r="D74" s="9" t="n">
        <v>45689</v>
      </c>
      <c r="E74" s="26" t="n">
        <v>11.61</v>
      </c>
      <c r="F74" s="26" t="n">
        <v>15.3</v>
      </c>
      <c r="G74" s="11" t="n">
        <f aca="false">IF(E74=0,"",F74/E74)</f>
        <v>1.31782945736434</v>
      </c>
      <c r="H74" s="27" t="n">
        <v>3192.75</v>
      </c>
      <c r="I74" s="27" t="n">
        <v>4207.5</v>
      </c>
      <c r="J74" s="27" t="n">
        <v>4207.5</v>
      </c>
      <c r="K74" s="11" t="n">
        <f aca="false">IF(I74=0,"",J74/I74)</f>
        <v>1</v>
      </c>
    </row>
    <row r="75" customFormat="false" ht="15" hidden="false" customHeight="false" outlineLevel="0" collapsed="false">
      <c r="A75" s="13" t="s">
        <v>53</v>
      </c>
      <c r="B75" s="13" t="s">
        <v>54</v>
      </c>
      <c r="C75" s="13" t="s">
        <v>102</v>
      </c>
      <c r="D75" s="9" t="n">
        <v>45689</v>
      </c>
      <c r="E75" s="26" t="n">
        <v>4.64</v>
      </c>
      <c r="F75" s="26" t="n">
        <v>5.5</v>
      </c>
      <c r="G75" s="11" t="n">
        <f aca="false">IF(E75=0,"",F75/E75)</f>
        <v>1.18534482758621</v>
      </c>
      <c r="H75" s="27" t="n">
        <v>1787.94</v>
      </c>
      <c r="I75" s="27" t="n">
        <v>2117.5</v>
      </c>
      <c r="J75" s="27" t="n">
        <v>2117.5</v>
      </c>
      <c r="K75" s="11" t="n">
        <f aca="false">IF(I75=0,"",J75/I75)</f>
        <v>1</v>
      </c>
    </row>
    <row r="76" customFormat="false" ht="15" hidden="false" customHeight="false" outlineLevel="0" collapsed="false">
      <c r="A76" s="13" t="s">
        <v>53</v>
      </c>
      <c r="B76" s="13" t="s">
        <v>54</v>
      </c>
      <c r="C76" s="13" t="s">
        <v>99</v>
      </c>
      <c r="D76" s="9" t="n">
        <v>45717</v>
      </c>
      <c r="E76" s="26" t="n">
        <v>38.89</v>
      </c>
      <c r="F76" s="26" t="n">
        <v>51.1</v>
      </c>
      <c r="G76" s="11" t="n">
        <f aca="false">IF(E76=0,"",F76/E76)</f>
        <v>1.31396245821548</v>
      </c>
      <c r="H76" s="27" t="n">
        <v>6028.47</v>
      </c>
      <c r="I76" s="27" t="n">
        <v>7920.5</v>
      </c>
      <c r="J76" s="27" t="n">
        <v>7920.5</v>
      </c>
      <c r="K76" s="11" t="n">
        <f aca="false">IF(I76=0,"",J76/I76)</f>
        <v>1</v>
      </c>
    </row>
    <row r="77" customFormat="false" ht="15" hidden="false" customHeight="false" outlineLevel="0" collapsed="false">
      <c r="A77" s="13" t="s">
        <v>53</v>
      </c>
      <c r="B77" s="13" t="s">
        <v>54</v>
      </c>
      <c r="C77" s="13" t="s">
        <v>100</v>
      </c>
      <c r="D77" s="9" t="n">
        <v>45717</v>
      </c>
      <c r="E77" s="26" t="n">
        <v>55.22</v>
      </c>
      <c r="F77" s="26" t="n">
        <v>70.5</v>
      </c>
      <c r="G77" s="11" t="n">
        <f aca="false">IF(E77=0,"",F77/E77)</f>
        <v>1.27671133647229</v>
      </c>
      <c r="H77" s="27" t="n">
        <v>11597.2</v>
      </c>
      <c r="I77" s="27" t="n">
        <v>14805</v>
      </c>
      <c r="J77" s="27" t="n">
        <v>14805</v>
      </c>
      <c r="K77" s="11" t="n">
        <f aca="false">IF(I77=0,"",J77/I77)</f>
        <v>1</v>
      </c>
    </row>
    <row r="78" customFormat="false" ht="15" hidden="false" customHeight="false" outlineLevel="0" collapsed="false">
      <c r="A78" s="13" t="s">
        <v>53</v>
      </c>
      <c r="B78" s="13" t="s">
        <v>54</v>
      </c>
      <c r="C78" s="13" t="s">
        <v>101</v>
      </c>
      <c r="D78" s="9" t="n">
        <v>45717</v>
      </c>
      <c r="E78" s="26" t="n">
        <v>18.88</v>
      </c>
      <c r="F78" s="26" t="n">
        <v>24.4</v>
      </c>
      <c r="G78" s="11" t="n">
        <f aca="false">IF(E78=0,"",F78/E78)</f>
        <v>1.29237288135593</v>
      </c>
      <c r="H78" s="27" t="n">
        <v>5192.07</v>
      </c>
      <c r="I78" s="27" t="n">
        <v>6710</v>
      </c>
      <c r="J78" s="27" t="n">
        <v>6710</v>
      </c>
      <c r="K78" s="11" t="n">
        <f aca="false">IF(I78=0,"",J78/I78)</f>
        <v>1</v>
      </c>
    </row>
    <row r="79" customFormat="false" ht="15" hidden="false" customHeight="false" outlineLevel="0" collapsed="false">
      <c r="A79" s="13" t="s">
        <v>53</v>
      </c>
      <c r="B79" s="13" t="s">
        <v>54</v>
      </c>
      <c r="C79" s="13" t="s">
        <v>102</v>
      </c>
      <c r="D79" s="9" t="n">
        <v>45717</v>
      </c>
      <c r="E79" s="26" t="n">
        <v>7.55</v>
      </c>
      <c r="F79" s="26" t="n">
        <v>8</v>
      </c>
      <c r="G79" s="11" t="n">
        <f aca="false">IF(E79=0,"",F79/E79)</f>
        <v>1.05960264900662</v>
      </c>
      <c r="H79" s="27" t="n">
        <v>2907.56</v>
      </c>
      <c r="I79" s="27" t="n">
        <v>3080</v>
      </c>
      <c r="J79" s="27" t="n">
        <v>3080</v>
      </c>
      <c r="K79" s="11" t="n">
        <f aca="false">IF(I79=0,"",J79/I79)</f>
        <v>1</v>
      </c>
    </row>
    <row r="80" customFormat="false" ht="15" hidden="false" customHeight="false" outlineLevel="0" collapsed="false">
      <c r="A80" s="13" t="s">
        <v>53</v>
      </c>
      <c r="B80" s="13" t="s">
        <v>54</v>
      </c>
      <c r="C80" s="13" t="s">
        <v>99</v>
      </c>
      <c r="D80" s="9" t="n">
        <v>45748</v>
      </c>
      <c r="E80" s="26" t="n">
        <v>51.59</v>
      </c>
      <c r="F80" s="26" t="n">
        <v>65.3</v>
      </c>
      <c r="G80" s="11" t="n">
        <f aca="false">IF(E80=0,"",F80/E80)</f>
        <v>1.26574917619694</v>
      </c>
      <c r="H80" s="27" t="n">
        <v>7996.45</v>
      </c>
      <c r="I80" s="27" t="n">
        <v>10121.5</v>
      </c>
      <c r="J80" s="27" t="n">
        <v>10121.5</v>
      </c>
      <c r="K80" s="11" t="n">
        <f aca="false">IF(I80=0,"",J80/I80)</f>
        <v>1</v>
      </c>
    </row>
    <row r="81" customFormat="false" ht="15" hidden="false" customHeight="false" outlineLevel="0" collapsed="false">
      <c r="A81" s="13" t="s">
        <v>53</v>
      </c>
      <c r="B81" s="13" t="s">
        <v>54</v>
      </c>
      <c r="C81" s="13" t="s">
        <v>100</v>
      </c>
      <c r="D81" s="9" t="n">
        <v>45748</v>
      </c>
      <c r="E81" s="26" t="n">
        <v>73.25</v>
      </c>
      <c r="F81" s="26" t="n">
        <v>88.6</v>
      </c>
      <c r="G81" s="11" t="n">
        <f aca="false">IF(E81=0,"",F81/E81)</f>
        <v>1.20955631399317</v>
      </c>
      <c r="H81" s="27" t="n">
        <v>15383.1</v>
      </c>
      <c r="I81" s="27" t="n">
        <v>18606</v>
      </c>
      <c r="J81" s="27" t="n">
        <v>18606</v>
      </c>
      <c r="K81" s="11" t="n">
        <f aca="false">IF(I81=0,"",J81/I81)</f>
        <v>1</v>
      </c>
    </row>
    <row r="82" customFormat="false" ht="15" hidden="false" customHeight="false" outlineLevel="0" collapsed="false">
      <c r="A82" s="13" t="s">
        <v>53</v>
      </c>
      <c r="B82" s="13" t="s">
        <v>54</v>
      </c>
      <c r="C82" s="13" t="s">
        <v>101</v>
      </c>
      <c r="D82" s="9" t="n">
        <v>45748</v>
      </c>
      <c r="E82" s="26" t="n">
        <v>25.04</v>
      </c>
      <c r="F82" s="26" t="n">
        <v>28.2</v>
      </c>
      <c r="G82" s="11" t="n">
        <f aca="false">IF(E82=0,"",F82/E82)</f>
        <v>1.12619808306709</v>
      </c>
      <c r="H82" s="27" t="n">
        <v>6887.02</v>
      </c>
      <c r="I82" s="27" t="n">
        <v>7755</v>
      </c>
      <c r="J82" s="27" t="n">
        <v>7755</v>
      </c>
      <c r="K82" s="11" t="n">
        <f aca="false">IF(I82=0,"",J82/I82)</f>
        <v>1</v>
      </c>
    </row>
    <row r="83" customFormat="false" ht="15" hidden="false" customHeight="false" outlineLevel="0" collapsed="false">
      <c r="A83" s="13" t="s">
        <v>53</v>
      </c>
      <c r="B83" s="13" t="s">
        <v>54</v>
      </c>
      <c r="C83" s="13" t="s">
        <v>102</v>
      </c>
      <c r="D83" s="9" t="n">
        <v>45748</v>
      </c>
      <c r="E83" s="26" t="n">
        <v>10.02</v>
      </c>
      <c r="F83" s="26" t="n">
        <v>10.1</v>
      </c>
      <c r="G83" s="11" t="n">
        <f aca="false">IF(E83=0,"",F83/E83)</f>
        <v>1.00798403193613</v>
      </c>
      <c r="H83" s="27" t="n">
        <v>3856.73</v>
      </c>
      <c r="I83" s="27" t="n">
        <v>3888.5</v>
      </c>
      <c r="J83" s="27" t="n">
        <v>3888.5</v>
      </c>
      <c r="K83" s="11" t="n">
        <f aca="false">IF(I83=0,"",J83/I83)</f>
        <v>1</v>
      </c>
    </row>
    <row r="84" customFormat="false" ht="15" hidden="false" customHeight="false" outlineLevel="0" collapsed="false">
      <c r="A84" s="13" t="s">
        <v>53</v>
      </c>
      <c r="B84" s="13" t="s">
        <v>54</v>
      </c>
      <c r="C84" s="13" t="s">
        <v>99</v>
      </c>
      <c r="D84" s="9" t="n">
        <v>45778</v>
      </c>
      <c r="E84" s="26" t="n">
        <v>60.07</v>
      </c>
      <c r="F84" s="26" t="n">
        <v>65.2</v>
      </c>
      <c r="G84" s="11" t="n">
        <f aca="false">IF(E84=0,"",F84/E84)</f>
        <v>1.08540036623939</v>
      </c>
      <c r="H84" s="27" t="n">
        <v>9311.42</v>
      </c>
      <c r="I84" s="27" t="n">
        <v>10106</v>
      </c>
      <c r="J84" s="27" t="n">
        <v>10106</v>
      </c>
      <c r="K84" s="11" t="n">
        <f aca="false">IF(I84=0,"",J84/I84)</f>
        <v>1</v>
      </c>
    </row>
    <row r="85" customFormat="false" ht="15" hidden="false" customHeight="false" outlineLevel="0" collapsed="false">
      <c r="A85" s="13" t="s">
        <v>53</v>
      </c>
      <c r="B85" s="13" t="s">
        <v>54</v>
      </c>
      <c r="C85" s="13" t="s">
        <v>100</v>
      </c>
      <c r="D85" s="9" t="n">
        <v>45778</v>
      </c>
      <c r="E85" s="26" t="n">
        <v>85.3</v>
      </c>
      <c r="F85" s="26" t="n">
        <v>88.1</v>
      </c>
      <c r="G85" s="11" t="n">
        <f aca="false">IF(E85=0,"",F85/E85)</f>
        <v>1.03282532239156</v>
      </c>
      <c r="H85" s="27" t="n">
        <v>17912.75</v>
      </c>
      <c r="I85" s="27" t="n">
        <v>18501</v>
      </c>
      <c r="J85" s="27" t="n">
        <v>18501</v>
      </c>
      <c r="K85" s="11" t="n">
        <f aca="false">IF(I85=0,"",J85/I85)</f>
        <v>1</v>
      </c>
    </row>
    <row r="86" customFormat="false" ht="15" hidden="false" customHeight="false" outlineLevel="0" collapsed="false">
      <c r="A86" s="13" t="s">
        <v>53</v>
      </c>
      <c r="B86" s="13" t="s">
        <v>54</v>
      </c>
      <c r="C86" s="13" t="s">
        <v>101</v>
      </c>
      <c r="D86" s="9" t="n">
        <v>45778</v>
      </c>
      <c r="E86" s="26" t="n">
        <v>29.16</v>
      </c>
      <c r="F86" s="26" t="n">
        <v>36</v>
      </c>
      <c r="G86" s="11" t="n">
        <f aca="false">IF(E86=0,"",F86/E86)</f>
        <v>1.23456790123457</v>
      </c>
      <c r="H86" s="27" t="n">
        <v>8019.55</v>
      </c>
      <c r="I86" s="27" t="n">
        <v>9900</v>
      </c>
      <c r="J86" s="27" t="n">
        <v>9900</v>
      </c>
      <c r="K86" s="11" t="n">
        <f aca="false">IF(I86=0,"",J86/I86)</f>
        <v>1</v>
      </c>
    </row>
    <row r="87" customFormat="false" ht="15" hidden="false" customHeight="false" outlineLevel="0" collapsed="false">
      <c r="A87" s="13" t="s">
        <v>53</v>
      </c>
      <c r="B87" s="13" t="s">
        <v>54</v>
      </c>
      <c r="C87" s="13" t="s">
        <v>102</v>
      </c>
      <c r="D87" s="9" t="n">
        <v>45778</v>
      </c>
      <c r="E87" s="26" t="n">
        <v>11.66</v>
      </c>
      <c r="F87" s="26" t="n">
        <v>11</v>
      </c>
      <c r="G87" s="11" t="n">
        <f aca="false">IF(E87=0,"",F87/E87)</f>
        <v>0.943396226415094</v>
      </c>
      <c r="H87" s="27" t="n">
        <v>4490.95</v>
      </c>
      <c r="I87" s="27" t="n">
        <v>4235</v>
      </c>
      <c r="J87" s="27" t="n">
        <v>4235</v>
      </c>
      <c r="K87" s="11" t="n">
        <f aca="false">IF(I87=0,"",J87/I87)</f>
        <v>1</v>
      </c>
    </row>
    <row r="88" customFormat="false" ht="15" hidden="false" customHeight="false" outlineLevel="0" collapsed="false">
      <c r="A88" s="13" t="s">
        <v>53</v>
      </c>
      <c r="B88" s="13" t="s">
        <v>54</v>
      </c>
      <c r="C88" s="13" t="s">
        <v>99</v>
      </c>
      <c r="D88" s="9" t="n">
        <v>45809</v>
      </c>
      <c r="E88" s="26" t="n">
        <v>63.05</v>
      </c>
      <c r="F88" s="26" t="n">
        <v>72.5</v>
      </c>
      <c r="G88" s="11" t="n">
        <f aca="false">IF(E88=0,"",F88/E88)</f>
        <v>1.14988104678826</v>
      </c>
      <c r="H88" s="27" t="n">
        <v>9773.18</v>
      </c>
      <c r="I88" s="27" t="n">
        <v>11237.5</v>
      </c>
      <c r="J88" s="27" t="n">
        <v>11237.5</v>
      </c>
      <c r="K88" s="11" t="n">
        <f aca="false">IF(I88=0,"",J88/I88)</f>
        <v>1</v>
      </c>
    </row>
    <row r="89" customFormat="false" ht="15" hidden="false" customHeight="false" outlineLevel="0" collapsed="false">
      <c r="A89" s="13" t="s">
        <v>53</v>
      </c>
      <c r="B89" s="13" t="s">
        <v>54</v>
      </c>
      <c r="C89" s="13" t="s">
        <v>100</v>
      </c>
      <c r="D89" s="9" t="n">
        <v>45809</v>
      </c>
      <c r="E89" s="26" t="n">
        <v>89.53</v>
      </c>
      <c r="F89" s="26" t="n">
        <v>99.1</v>
      </c>
      <c r="G89" s="11" t="n">
        <f aca="false">IF(E89=0,"",F89/E89)</f>
        <v>1.10689154473361</v>
      </c>
      <c r="H89" s="27" t="n">
        <v>18801.05</v>
      </c>
      <c r="I89" s="27" t="n">
        <v>20811</v>
      </c>
      <c r="J89" s="27" t="n">
        <v>20811</v>
      </c>
      <c r="K89" s="11" t="n">
        <f aca="false">IF(I89=0,"",J89/I89)</f>
        <v>1</v>
      </c>
    </row>
    <row r="90" customFormat="false" ht="15" hidden="false" customHeight="false" outlineLevel="0" collapsed="false">
      <c r="A90" s="13" t="s">
        <v>53</v>
      </c>
      <c r="B90" s="13" t="s">
        <v>54</v>
      </c>
      <c r="C90" s="13" t="s">
        <v>101</v>
      </c>
      <c r="D90" s="9" t="n">
        <v>45809</v>
      </c>
      <c r="E90" s="26" t="n">
        <v>30.61</v>
      </c>
      <c r="F90" s="26" t="n">
        <v>21.5</v>
      </c>
      <c r="G90" s="11" t="n">
        <f aca="false">IF(E90=0,"",F90/E90)</f>
        <v>0.702384841555047</v>
      </c>
      <c r="H90" s="27" t="n">
        <v>8417.24</v>
      </c>
      <c r="I90" s="27" t="n">
        <v>5912.5</v>
      </c>
      <c r="J90" s="27" t="n">
        <v>5912.5</v>
      </c>
      <c r="K90" s="11" t="n">
        <f aca="false">IF(I90=0,"",J90/I90)</f>
        <v>1</v>
      </c>
    </row>
    <row r="91" customFormat="false" ht="15" hidden="false" customHeight="false" outlineLevel="0" collapsed="false">
      <c r="A91" s="13" t="s">
        <v>53</v>
      </c>
      <c r="B91" s="13" t="s">
        <v>54</v>
      </c>
      <c r="C91" s="13" t="s">
        <v>102</v>
      </c>
      <c r="D91" s="9" t="n">
        <v>45809</v>
      </c>
      <c r="E91" s="26" t="n">
        <v>12.24</v>
      </c>
      <c r="F91" s="26" t="n">
        <v>10.5</v>
      </c>
      <c r="G91" s="11" t="n">
        <f aca="false">IF(E91=0,"",F91/E91)</f>
        <v>0.857843137254902</v>
      </c>
      <c r="H91" s="27" t="n">
        <v>4713.65</v>
      </c>
      <c r="I91" s="27" t="n">
        <v>4042.5</v>
      </c>
      <c r="J91" s="27" t="n">
        <v>4042.5</v>
      </c>
      <c r="K91" s="11" t="n">
        <f aca="false">IF(I91=0,"",J91/I91)</f>
        <v>1</v>
      </c>
    </row>
    <row r="92" customFormat="false" ht="15" hidden="false" customHeight="false" outlineLevel="0" collapsed="false">
      <c r="A92" s="13" t="s">
        <v>53</v>
      </c>
      <c r="B92" s="13" t="s">
        <v>54</v>
      </c>
      <c r="C92" s="13" t="s">
        <v>99</v>
      </c>
      <c r="D92" s="9" t="n">
        <v>45839</v>
      </c>
      <c r="E92" s="26" t="n">
        <v>60.07</v>
      </c>
      <c r="F92" s="26" t="n">
        <v>48.5</v>
      </c>
      <c r="G92" s="11" t="n">
        <f aca="false">IF(E92=0,"",F92/E92)</f>
        <v>0.807391376727152</v>
      </c>
      <c r="H92" s="27" t="n">
        <v>9311.42</v>
      </c>
      <c r="I92" s="27" t="n">
        <v>7517.5</v>
      </c>
      <c r="J92" s="27" t="n">
        <v>7517.5</v>
      </c>
      <c r="K92" s="11" t="n">
        <f aca="false">IF(I92=0,"",J92/I92)</f>
        <v>1</v>
      </c>
    </row>
    <row r="93" customFormat="false" ht="15" hidden="false" customHeight="false" outlineLevel="0" collapsed="false">
      <c r="A93" s="13" t="s">
        <v>53</v>
      </c>
      <c r="B93" s="13" t="s">
        <v>54</v>
      </c>
      <c r="C93" s="13" t="s">
        <v>100</v>
      </c>
      <c r="D93" s="9" t="n">
        <v>45839</v>
      </c>
      <c r="E93" s="26" t="n">
        <v>85.3</v>
      </c>
      <c r="F93" s="26" t="n">
        <v>70.7</v>
      </c>
      <c r="G93" s="11" t="n">
        <f aca="false">IF(E93=0,"",F93/E93)</f>
        <v>0.82883939038687</v>
      </c>
      <c r="H93" s="27" t="n">
        <v>17912.75</v>
      </c>
      <c r="I93" s="27" t="n">
        <v>14847</v>
      </c>
      <c r="J93" s="27" t="n">
        <v>14847</v>
      </c>
      <c r="K93" s="11" t="n">
        <f aca="false">IF(I93=0,"",J93/I93)</f>
        <v>1</v>
      </c>
    </row>
    <row r="94" customFormat="false" ht="15" hidden="false" customHeight="false" outlineLevel="0" collapsed="false">
      <c r="A94" s="13" t="s">
        <v>53</v>
      </c>
      <c r="B94" s="13" t="s">
        <v>54</v>
      </c>
      <c r="C94" s="13" t="s">
        <v>101</v>
      </c>
      <c r="D94" s="9" t="n">
        <v>45839</v>
      </c>
      <c r="E94" s="26" t="n">
        <v>29.16</v>
      </c>
      <c r="F94" s="26" t="n">
        <v>27.7</v>
      </c>
      <c r="G94" s="11" t="n">
        <f aca="false">IF(E94=0,"",F94/E94)</f>
        <v>0.949931412894376</v>
      </c>
      <c r="H94" s="27" t="n">
        <v>8019.55</v>
      </c>
      <c r="I94" s="27" t="n">
        <v>7617.5</v>
      </c>
      <c r="J94" s="27" t="n">
        <v>7617.5</v>
      </c>
      <c r="K94" s="11" t="n">
        <f aca="false">IF(I94=0,"",J94/I94)</f>
        <v>1</v>
      </c>
    </row>
    <row r="95" customFormat="false" ht="15" hidden="false" customHeight="false" outlineLevel="0" collapsed="false">
      <c r="A95" s="13" t="s">
        <v>53</v>
      </c>
      <c r="B95" s="13" t="s">
        <v>54</v>
      </c>
      <c r="C95" s="13" t="s">
        <v>102</v>
      </c>
      <c r="D95" s="9" t="n">
        <v>45839</v>
      </c>
      <c r="E95" s="26" t="n">
        <v>11.66</v>
      </c>
      <c r="F95" s="26" t="n">
        <v>9.9</v>
      </c>
      <c r="G95" s="11" t="n">
        <f aca="false">IF(E95=0,"",F95/E95)</f>
        <v>0.849056603773585</v>
      </c>
      <c r="H95" s="27" t="n">
        <v>4490.95</v>
      </c>
      <c r="I95" s="27" t="n">
        <v>3811.5</v>
      </c>
      <c r="J95" s="27" t="n">
        <v>3811.5</v>
      </c>
      <c r="K95" s="11" t="n">
        <f aca="false">IF(I95=0,"",J95/I95)</f>
        <v>1</v>
      </c>
    </row>
    <row r="96" customFormat="false" ht="15" hidden="false" customHeight="false" outlineLevel="0" collapsed="false">
      <c r="A96" s="13" t="s">
        <v>53</v>
      </c>
      <c r="B96" s="13" t="s">
        <v>54</v>
      </c>
      <c r="C96" s="13" t="s">
        <v>99</v>
      </c>
      <c r="D96" s="9" t="n">
        <v>45870</v>
      </c>
      <c r="E96" s="26" t="n">
        <v>51.59</v>
      </c>
      <c r="F96" s="26" t="n">
        <v>29.2</v>
      </c>
      <c r="G96" s="11" t="n">
        <f aca="false">IF(E96=0,"",F96/E96)</f>
        <v>0.566001163016088</v>
      </c>
      <c r="H96" s="27" t="n">
        <v>7996.45</v>
      </c>
      <c r="I96" s="27" t="n">
        <v>4526</v>
      </c>
      <c r="J96" s="27" t="n">
        <v>4526</v>
      </c>
      <c r="K96" s="11" t="n">
        <f aca="false">IF(I96=0,"",J96/I96)</f>
        <v>1</v>
      </c>
    </row>
    <row r="97" customFormat="false" ht="15" hidden="false" customHeight="false" outlineLevel="0" collapsed="false">
      <c r="A97" s="13" t="s">
        <v>53</v>
      </c>
      <c r="B97" s="13" t="s">
        <v>54</v>
      </c>
      <c r="C97" s="13" t="s">
        <v>100</v>
      </c>
      <c r="D97" s="9" t="n">
        <v>45870</v>
      </c>
      <c r="E97" s="26" t="n">
        <v>73.25</v>
      </c>
      <c r="F97" s="26" t="n">
        <v>37.7</v>
      </c>
      <c r="G97" s="11" t="n">
        <f aca="false">IF(E97=0,"",F97/E97)</f>
        <v>0.514675767918089</v>
      </c>
      <c r="H97" s="27" t="n">
        <v>15383.1</v>
      </c>
      <c r="I97" s="27" t="n">
        <v>7917</v>
      </c>
      <c r="J97" s="27" t="n">
        <v>7917</v>
      </c>
      <c r="K97" s="11" t="n">
        <f aca="false">IF(I97=0,"",J97/I97)</f>
        <v>1</v>
      </c>
    </row>
    <row r="98" customFormat="false" ht="15" hidden="false" customHeight="false" outlineLevel="0" collapsed="false">
      <c r="A98" s="13" t="s">
        <v>53</v>
      </c>
      <c r="B98" s="13" t="s">
        <v>54</v>
      </c>
      <c r="C98" s="13" t="s">
        <v>101</v>
      </c>
      <c r="D98" s="9" t="n">
        <v>45870</v>
      </c>
      <c r="E98" s="26" t="n">
        <v>25.04</v>
      </c>
      <c r="F98" s="26" t="n">
        <v>13.2</v>
      </c>
      <c r="G98" s="11" t="n">
        <f aca="false">IF(E98=0,"",F98/E98)</f>
        <v>0.527156549520767</v>
      </c>
      <c r="H98" s="27" t="n">
        <v>6887.02</v>
      </c>
      <c r="I98" s="27" t="n">
        <v>3630</v>
      </c>
      <c r="J98" s="27" t="n">
        <v>3630</v>
      </c>
      <c r="K98" s="11" t="n">
        <f aca="false">IF(I98=0,"",J98/I98)</f>
        <v>1</v>
      </c>
    </row>
    <row r="99" customFormat="false" ht="15" hidden="false" customHeight="false" outlineLevel="0" collapsed="false">
      <c r="A99" s="13" t="s">
        <v>53</v>
      </c>
      <c r="B99" s="13" t="s">
        <v>54</v>
      </c>
      <c r="C99" s="13" t="s">
        <v>102</v>
      </c>
      <c r="D99" s="9" t="n">
        <v>45870</v>
      </c>
      <c r="E99" s="26" t="n">
        <v>10.02</v>
      </c>
      <c r="F99" s="26" t="n">
        <v>2.5</v>
      </c>
      <c r="G99" s="11" t="n">
        <f aca="false">IF(E99=0,"",F99/E99)</f>
        <v>0.249500998003992</v>
      </c>
      <c r="H99" s="27" t="n">
        <v>3856.73</v>
      </c>
      <c r="I99" s="27" t="n">
        <v>962.5</v>
      </c>
      <c r="J99" s="27" t="n">
        <v>962.5</v>
      </c>
      <c r="K99" s="11" t="n">
        <f aca="false">IF(I99=0,"",J99/I99)</f>
        <v>1</v>
      </c>
    </row>
    <row r="100" customFormat="false" ht="15" hidden="false" customHeight="false" outlineLevel="0" collapsed="false">
      <c r="A100" s="13" t="s">
        <v>57</v>
      </c>
      <c r="B100" s="13" t="s">
        <v>58</v>
      </c>
      <c r="C100" s="13" t="s">
        <v>99</v>
      </c>
      <c r="D100" s="9" t="n">
        <v>45597</v>
      </c>
      <c r="E100" s="26" t="n">
        <v>40.43</v>
      </c>
      <c r="F100" s="26" t="n">
        <v>25.5</v>
      </c>
      <c r="G100" s="11" t="n">
        <f aca="false">IF(E100=0,"",F100/E100)</f>
        <v>0.63071976255256</v>
      </c>
      <c r="H100" s="27" t="n">
        <v>6265.97</v>
      </c>
      <c r="I100" s="27" t="n">
        <v>3952.5</v>
      </c>
      <c r="J100" s="27" t="n">
        <v>3952.5</v>
      </c>
      <c r="K100" s="11" t="n">
        <f aca="false">IF(I100=0,"",J100/I100)</f>
        <v>1</v>
      </c>
    </row>
    <row r="101" customFormat="false" ht="15" hidden="false" customHeight="false" outlineLevel="0" collapsed="false">
      <c r="A101" s="13" t="s">
        <v>57</v>
      </c>
      <c r="B101" s="13" t="s">
        <v>58</v>
      </c>
      <c r="C101" s="13" t="s">
        <v>100</v>
      </c>
      <c r="D101" s="9" t="n">
        <v>45597</v>
      </c>
      <c r="E101" s="26" t="n">
        <v>47.62</v>
      </c>
      <c r="F101" s="26" t="n">
        <v>45.2</v>
      </c>
      <c r="G101" s="11" t="n">
        <f aca="false">IF(E101=0,"",F101/E101)</f>
        <v>0.949181016379673</v>
      </c>
      <c r="H101" s="27" t="n">
        <v>10000.62</v>
      </c>
      <c r="I101" s="27" t="n">
        <v>9492</v>
      </c>
      <c r="J101" s="27" t="n">
        <v>9492</v>
      </c>
      <c r="K101" s="11" t="n">
        <f aca="false">IF(I101=0,"",J101/I101)</f>
        <v>1</v>
      </c>
    </row>
    <row r="102" customFormat="false" ht="15" hidden="false" customHeight="false" outlineLevel="0" collapsed="false">
      <c r="A102" s="13" t="s">
        <v>57</v>
      </c>
      <c r="B102" s="13" t="s">
        <v>58</v>
      </c>
      <c r="C102" s="13" t="s">
        <v>101</v>
      </c>
      <c r="D102" s="9" t="n">
        <v>45597</v>
      </c>
      <c r="E102" s="26" t="n">
        <v>18.52</v>
      </c>
      <c r="F102" s="26" t="n">
        <v>12.1</v>
      </c>
      <c r="G102" s="11" t="n">
        <f aca="false">IF(E102=0,"",F102/E102)</f>
        <v>0.653347732181426</v>
      </c>
      <c r="H102" s="27" t="n">
        <v>5093.51</v>
      </c>
      <c r="I102" s="27" t="n">
        <v>3327.5</v>
      </c>
      <c r="J102" s="27" t="n">
        <v>3152</v>
      </c>
      <c r="K102" s="11" t="n">
        <f aca="false">IF(I102=0,"",J102/I102)</f>
        <v>0.947257700976709</v>
      </c>
    </row>
    <row r="103" customFormat="false" ht="15" hidden="false" customHeight="false" outlineLevel="0" collapsed="false">
      <c r="A103" s="13" t="s">
        <v>57</v>
      </c>
      <c r="B103" s="13" t="s">
        <v>58</v>
      </c>
      <c r="C103" s="13" t="s">
        <v>102</v>
      </c>
      <c r="D103" s="9" t="n">
        <v>45597</v>
      </c>
      <c r="E103" s="26" t="n">
        <v>7.24</v>
      </c>
      <c r="F103" s="26" t="n">
        <v>6.9</v>
      </c>
      <c r="G103" s="11" t="n">
        <f aca="false">IF(E103=0,"",F103/E103)</f>
        <v>0.953038674033149</v>
      </c>
      <c r="H103" s="27" t="n">
        <v>2785.75</v>
      </c>
      <c r="I103" s="27" t="n">
        <v>2656.5</v>
      </c>
      <c r="J103" s="27" t="n">
        <v>2656.5</v>
      </c>
      <c r="K103" s="11" t="n">
        <f aca="false">IF(I103=0,"",J103/I103)</f>
        <v>1</v>
      </c>
    </row>
    <row r="104" customFormat="false" ht="15" hidden="false" customHeight="false" outlineLevel="0" collapsed="false">
      <c r="A104" s="13" t="s">
        <v>57</v>
      </c>
      <c r="B104" s="13" t="s">
        <v>58</v>
      </c>
      <c r="C104" s="13" t="s">
        <v>99</v>
      </c>
      <c r="D104" s="9" t="n">
        <v>45627</v>
      </c>
      <c r="E104" s="26" t="n">
        <v>57.55</v>
      </c>
      <c r="F104" s="26" t="n">
        <v>45.4</v>
      </c>
      <c r="G104" s="11" t="n">
        <f aca="false">IF(E104=0,"",F104/E104)</f>
        <v>0.788879235447437</v>
      </c>
      <c r="H104" s="27" t="n">
        <v>8919.75</v>
      </c>
      <c r="I104" s="27" t="n">
        <v>7037</v>
      </c>
      <c r="J104" s="27" t="n">
        <v>7037</v>
      </c>
      <c r="K104" s="11" t="n">
        <f aca="false">IF(I104=0,"",J104/I104)</f>
        <v>1</v>
      </c>
    </row>
    <row r="105" customFormat="false" ht="15" hidden="false" customHeight="false" outlineLevel="0" collapsed="false">
      <c r="A105" s="13" t="s">
        <v>57</v>
      </c>
      <c r="B105" s="13" t="s">
        <v>58</v>
      </c>
      <c r="C105" s="13" t="s">
        <v>100</v>
      </c>
      <c r="D105" s="9" t="n">
        <v>45627</v>
      </c>
      <c r="E105" s="26" t="n">
        <v>67.79</v>
      </c>
      <c r="F105" s="26" t="n">
        <v>68.2</v>
      </c>
      <c r="G105" s="11" t="n">
        <f aca="false">IF(E105=0,"",F105/E105)</f>
        <v>1.00604808968874</v>
      </c>
      <c r="H105" s="27" t="n">
        <v>14236.11</v>
      </c>
      <c r="I105" s="27" t="n">
        <v>14322</v>
      </c>
      <c r="J105" s="27" t="n">
        <v>14322</v>
      </c>
      <c r="K105" s="11" t="n">
        <f aca="false">IF(I105=0,"",J105/I105)</f>
        <v>1</v>
      </c>
    </row>
    <row r="106" customFormat="false" ht="15" hidden="false" customHeight="false" outlineLevel="0" collapsed="false">
      <c r="A106" s="13" t="s">
        <v>57</v>
      </c>
      <c r="B106" s="13" t="s">
        <v>58</v>
      </c>
      <c r="C106" s="13" t="s">
        <v>101</v>
      </c>
      <c r="D106" s="9" t="n">
        <v>45627</v>
      </c>
      <c r="E106" s="26" t="n">
        <v>26.37</v>
      </c>
      <c r="F106" s="26" t="n">
        <v>22.9</v>
      </c>
      <c r="G106" s="11" t="n">
        <f aca="false">IF(E106=0,"",F106/E106)</f>
        <v>0.86841107318923</v>
      </c>
      <c r="H106" s="27" t="n">
        <v>7250.72</v>
      </c>
      <c r="I106" s="27" t="n">
        <v>6297.5</v>
      </c>
      <c r="J106" s="27" t="n">
        <v>6297.5</v>
      </c>
      <c r="K106" s="11" t="n">
        <f aca="false">IF(I106=0,"",J106/I106)</f>
        <v>1</v>
      </c>
    </row>
    <row r="107" customFormat="false" ht="15" hidden="false" customHeight="false" outlineLevel="0" collapsed="false">
      <c r="A107" s="13" t="s">
        <v>57</v>
      </c>
      <c r="B107" s="13" t="s">
        <v>58</v>
      </c>
      <c r="C107" s="13" t="s">
        <v>102</v>
      </c>
      <c r="D107" s="9" t="n">
        <v>45627</v>
      </c>
      <c r="E107" s="26" t="n">
        <v>10.3</v>
      </c>
      <c r="F107" s="26" t="n">
        <v>10.7</v>
      </c>
      <c r="G107" s="11" t="n">
        <f aca="false">IF(E107=0,"",F107/E107)</f>
        <v>1.03883495145631</v>
      </c>
      <c r="H107" s="27" t="n">
        <v>3965.58</v>
      </c>
      <c r="I107" s="27" t="n">
        <v>4119.5</v>
      </c>
      <c r="J107" s="27" t="n">
        <v>4119.5</v>
      </c>
      <c r="K107" s="11" t="n">
        <f aca="false">IF(I107=0,"",J107/I107)</f>
        <v>1</v>
      </c>
    </row>
    <row r="108" customFormat="false" ht="15" hidden="false" customHeight="false" outlineLevel="0" collapsed="false">
      <c r="A108" s="13" t="s">
        <v>57</v>
      </c>
      <c r="B108" s="13" t="s">
        <v>58</v>
      </c>
      <c r="C108" s="13" t="s">
        <v>99</v>
      </c>
      <c r="D108" s="9" t="n">
        <v>45658</v>
      </c>
      <c r="E108" s="26" t="n">
        <v>73.5</v>
      </c>
      <c r="F108" s="26" t="n">
        <v>67.9</v>
      </c>
      <c r="G108" s="11" t="n">
        <f aca="false">IF(E108=0,"",F108/E108)</f>
        <v>0.923809523809524</v>
      </c>
      <c r="H108" s="27" t="n">
        <v>11392.68</v>
      </c>
      <c r="I108" s="27" t="n">
        <v>10524.5</v>
      </c>
      <c r="J108" s="27" t="n">
        <v>10524.5</v>
      </c>
      <c r="K108" s="11" t="n">
        <f aca="false">IF(I108=0,"",J108/I108)</f>
        <v>1</v>
      </c>
    </row>
    <row r="109" customFormat="false" ht="15" hidden="false" customHeight="false" outlineLevel="0" collapsed="false">
      <c r="A109" s="13" t="s">
        <v>57</v>
      </c>
      <c r="B109" s="13" t="s">
        <v>58</v>
      </c>
      <c r="C109" s="13" t="s">
        <v>100</v>
      </c>
      <c r="D109" s="9" t="n">
        <v>45658</v>
      </c>
      <c r="E109" s="26" t="n">
        <v>86.59</v>
      </c>
      <c r="F109" s="26" t="n">
        <v>76.1</v>
      </c>
      <c r="G109" s="11" t="n">
        <f aca="false">IF(E109=0,"",F109/E109)</f>
        <v>0.8788543711745</v>
      </c>
      <c r="H109" s="27" t="n">
        <v>18182.95</v>
      </c>
      <c r="I109" s="27" t="n">
        <v>15981</v>
      </c>
      <c r="J109" s="27" t="n">
        <v>15981</v>
      </c>
      <c r="K109" s="11" t="n">
        <f aca="false">IF(I109=0,"",J109/I109)</f>
        <v>1</v>
      </c>
    </row>
    <row r="110" customFormat="false" ht="15" hidden="false" customHeight="false" outlineLevel="0" collapsed="false">
      <c r="A110" s="13" t="s">
        <v>57</v>
      </c>
      <c r="B110" s="13" t="s">
        <v>58</v>
      </c>
      <c r="C110" s="13" t="s">
        <v>101</v>
      </c>
      <c r="D110" s="9" t="n">
        <v>45658</v>
      </c>
      <c r="E110" s="26" t="n">
        <v>33.68</v>
      </c>
      <c r="F110" s="26" t="n">
        <v>28.8</v>
      </c>
      <c r="G110" s="11" t="n">
        <f aca="false">IF(E110=0,"",F110/E110)</f>
        <v>0.855106888361045</v>
      </c>
      <c r="H110" s="27" t="n">
        <v>9260.93</v>
      </c>
      <c r="I110" s="27" t="n">
        <v>7920</v>
      </c>
      <c r="J110" s="27" t="n">
        <v>7920</v>
      </c>
      <c r="K110" s="11" t="n">
        <f aca="false">IF(I110=0,"",J110/I110)</f>
        <v>1</v>
      </c>
    </row>
    <row r="111" customFormat="false" ht="15" hidden="false" customHeight="false" outlineLevel="0" collapsed="false">
      <c r="A111" s="13" t="s">
        <v>57</v>
      </c>
      <c r="B111" s="13" t="s">
        <v>58</v>
      </c>
      <c r="C111" s="13" t="s">
        <v>102</v>
      </c>
      <c r="D111" s="9" t="n">
        <v>45658</v>
      </c>
      <c r="E111" s="26" t="n">
        <v>13.16</v>
      </c>
      <c r="F111" s="26" t="n">
        <v>8.2</v>
      </c>
      <c r="G111" s="11" t="n">
        <f aca="false">IF(E111=0,"",F111/E111)</f>
        <v>0.623100303951368</v>
      </c>
      <c r="H111" s="27" t="n">
        <v>5065</v>
      </c>
      <c r="I111" s="27" t="n">
        <v>3157</v>
      </c>
      <c r="J111" s="27" t="n">
        <v>3157</v>
      </c>
      <c r="K111" s="11" t="n">
        <f aca="false">IF(I111=0,"",J111/I111)</f>
        <v>1</v>
      </c>
    </row>
    <row r="112" customFormat="false" ht="15" hidden="false" customHeight="false" outlineLevel="0" collapsed="false">
      <c r="A112" s="13" t="s">
        <v>57</v>
      </c>
      <c r="B112" s="13" t="s">
        <v>58</v>
      </c>
      <c r="C112" s="13" t="s">
        <v>99</v>
      </c>
      <c r="D112" s="9" t="n">
        <v>45689</v>
      </c>
      <c r="E112" s="26" t="n">
        <v>87.2</v>
      </c>
      <c r="F112" s="26" t="n">
        <v>64.9</v>
      </c>
      <c r="G112" s="11" t="n">
        <f aca="false">IF(E112=0,"",F112/E112)</f>
        <v>0.744266055045872</v>
      </c>
      <c r="H112" s="27" t="n">
        <v>13516.23</v>
      </c>
      <c r="I112" s="27" t="n">
        <v>10059.5</v>
      </c>
      <c r="J112" s="27" t="n">
        <v>10059.5</v>
      </c>
      <c r="K112" s="11" t="n">
        <f aca="false">IF(I112=0,"",J112/I112)</f>
        <v>1</v>
      </c>
    </row>
    <row r="113" customFormat="false" ht="15" hidden="false" customHeight="false" outlineLevel="0" collapsed="false">
      <c r="A113" s="13" t="s">
        <v>57</v>
      </c>
      <c r="B113" s="13" t="s">
        <v>58</v>
      </c>
      <c r="C113" s="13" t="s">
        <v>100</v>
      </c>
      <c r="D113" s="9" t="n">
        <v>45689</v>
      </c>
      <c r="E113" s="26" t="n">
        <v>102.72</v>
      </c>
      <c r="F113" s="26" t="n">
        <v>93.9</v>
      </c>
      <c r="G113" s="11" t="n">
        <f aca="false">IF(E113=0,"",F113/E113)</f>
        <v>0.914135514018692</v>
      </c>
      <c r="H113" s="27" t="n">
        <v>21572.18</v>
      </c>
      <c r="I113" s="27" t="n">
        <v>19719</v>
      </c>
      <c r="J113" s="27" t="n">
        <v>19719</v>
      </c>
      <c r="K113" s="11" t="n">
        <f aca="false">IF(I113=0,"",J113/I113)</f>
        <v>1</v>
      </c>
    </row>
    <row r="114" customFormat="false" ht="15" hidden="false" customHeight="false" outlineLevel="0" collapsed="false">
      <c r="A114" s="13" t="s">
        <v>57</v>
      </c>
      <c r="B114" s="13" t="s">
        <v>58</v>
      </c>
      <c r="C114" s="13" t="s">
        <v>101</v>
      </c>
      <c r="D114" s="9" t="n">
        <v>45689</v>
      </c>
      <c r="E114" s="26" t="n">
        <v>39.95</v>
      </c>
      <c r="F114" s="26" t="n">
        <v>42.5</v>
      </c>
      <c r="G114" s="11" t="n">
        <f aca="false">IF(E114=0,"",F114/E114)</f>
        <v>1.06382978723404</v>
      </c>
      <c r="H114" s="27" t="n">
        <v>10987.13</v>
      </c>
      <c r="I114" s="27" t="n">
        <v>11687.5</v>
      </c>
      <c r="J114" s="27" t="n">
        <v>11687.5</v>
      </c>
      <c r="K114" s="11" t="n">
        <f aca="false">IF(I114=0,"",J114/I114)</f>
        <v>1</v>
      </c>
    </row>
    <row r="115" customFormat="false" ht="15" hidden="false" customHeight="false" outlineLevel="0" collapsed="false">
      <c r="A115" s="13" t="s">
        <v>57</v>
      </c>
      <c r="B115" s="13" t="s">
        <v>58</v>
      </c>
      <c r="C115" s="13" t="s">
        <v>102</v>
      </c>
      <c r="D115" s="9" t="n">
        <v>45689</v>
      </c>
      <c r="E115" s="26" t="n">
        <v>15.61</v>
      </c>
      <c r="F115" s="26" t="n">
        <v>10.6</v>
      </c>
      <c r="G115" s="11" t="n">
        <f aca="false">IF(E115=0,"",F115/E115)</f>
        <v>0.679051889814222</v>
      </c>
      <c r="H115" s="27" t="n">
        <v>6009.1</v>
      </c>
      <c r="I115" s="27" t="n">
        <v>4081</v>
      </c>
      <c r="J115" s="27" t="n">
        <v>4081</v>
      </c>
      <c r="K115" s="11" t="n">
        <f aca="false">IF(I115=0,"",J115/I115)</f>
        <v>1</v>
      </c>
    </row>
    <row r="116" customFormat="false" ht="15" hidden="false" customHeight="false" outlineLevel="0" collapsed="false">
      <c r="A116" s="13" t="s">
        <v>57</v>
      </c>
      <c r="B116" s="13" t="s">
        <v>58</v>
      </c>
      <c r="C116" s="13" t="s">
        <v>99</v>
      </c>
      <c r="D116" s="9" t="n">
        <v>45717</v>
      </c>
      <c r="E116" s="26" t="n">
        <v>97.71</v>
      </c>
      <c r="F116" s="26" t="n">
        <v>81.9</v>
      </c>
      <c r="G116" s="11" t="n">
        <f aca="false">IF(E116=0,"",F116/E116)</f>
        <v>0.838194657660424</v>
      </c>
      <c r="H116" s="27" t="n">
        <v>15145.68</v>
      </c>
      <c r="I116" s="27" t="n">
        <v>12694.5</v>
      </c>
      <c r="J116" s="27" t="n">
        <v>12694.5</v>
      </c>
      <c r="K116" s="11" t="n">
        <f aca="false">IF(I116=0,"",J116/I116)</f>
        <v>1</v>
      </c>
    </row>
    <row r="117" customFormat="false" ht="15" hidden="false" customHeight="false" outlineLevel="0" collapsed="false">
      <c r="A117" s="13" t="s">
        <v>57</v>
      </c>
      <c r="B117" s="13" t="s">
        <v>58</v>
      </c>
      <c r="C117" s="13" t="s">
        <v>100</v>
      </c>
      <c r="D117" s="9" t="n">
        <v>45717</v>
      </c>
      <c r="E117" s="26" t="n">
        <v>115.11</v>
      </c>
      <c r="F117" s="26" t="n">
        <v>97</v>
      </c>
      <c r="G117" s="11" t="n">
        <f aca="false">IF(E117=0,"",F117/E117)</f>
        <v>0.842672226565894</v>
      </c>
      <c r="H117" s="27" t="n">
        <v>24172.83</v>
      </c>
      <c r="I117" s="27" t="n">
        <v>20370</v>
      </c>
      <c r="J117" s="27" t="n">
        <v>21017.5</v>
      </c>
      <c r="K117" s="11" t="n">
        <f aca="false">IF(I117=0,"",J117/I117)</f>
        <v>1.03178694158076</v>
      </c>
    </row>
    <row r="118" customFormat="false" ht="15" hidden="false" customHeight="false" outlineLevel="0" collapsed="false">
      <c r="A118" s="13" t="s">
        <v>57</v>
      </c>
      <c r="B118" s="13" t="s">
        <v>58</v>
      </c>
      <c r="C118" s="13" t="s">
        <v>101</v>
      </c>
      <c r="D118" s="9" t="n">
        <v>45717</v>
      </c>
      <c r="E118" s="26" t="n">
        <v>44.77</v>
      </c>
      <c r="F118" s="26" t="n">
        <v>38.8</v>
      </c>
      <c r="G118" s="11" t="n">
        <f aca="false">IF(E118=0,"",F118/E118)</f>
        <v>0.866651775742685</v>
      </c>
      <c r="H118" s="27" t="n">
        <v>12311.69</v>
      </c>
      <c r="I118" s="27" t="n">
        <v>10670</v>
      </c>
      <c r="J118" s="27" t="n">
        <v>10670</v>
      </c>
      <c r="K118" s="11" t="n">
        <f aca="false">IF(I118=0,"",J118/I118)</f>
        <v>1</v>
      </c>
    </row>
    <row r="119" customFormat="false" ht="15" hidden="false" customHeight="false" outlineLevel="0" collapsed="false">
      <c r="A119" s="13" t="s">
        <v>57</v>
      </c>
      <c r="B119" s="13" t="s">
        <v>58</v>
      </c>
      <c r="C119" s="13" t="s">
        <v>102</v>
      </c>
      <c r="D119" s="9" t="n">
        <v>45717</v>
      </c>
      <c r="E119" s="26" t="n">
        <v>17.49</v>
      </c>
      <c r="F119" s="26" t="n">
        <v>14.9</v>
      </c>
      <c r="G119" s="11" t="n">
        <f aca="false">IF(E119=0,"",F119/E119)</f>
        <v>0.851915380217267</v>
      </c>
      <c r="H119" s="27" t="n">
        <v>6733.53</v>
      </c>
      <c r="I119" s="27" t="n">
        <v>5736.5</v>
      </c>
      <c r="J119" s="27" t="n">
        <v>5736.5</v>
      </c>
      <c r="K119" s="11" t="n">
        <f aca="false">IF(I119=0,"",J119/I119)</f>
        <v>1</v>
      </c>
    </row>
    <row r="120" customFormat="false" ht="15" hidden="false" customHeight="false" outlineLevel="0" collapsed="false">
      <c r="A120" s="13" t="s">
        <v>57</v>
      </c>
      <c r="B120" s="13" t="s">
        <v>58</v>
      </c>
      <c r="C120" s="13" t="s">
        <v>99</v>
      </c>
      <c r="D120" s="9" t="n">
        <v>45748</v>
      </c>
      <c r="E120" s="26" t="n">
        <v>104.32</v>
      </c>
      <c r="F120" s="26" t="n">
        <v>78.3</v>
      </c>
      <c r="G120" s="11" t="n">
        <f aca="false">IF(E120=0,"",F120/E120)</f>
        <v>0.750575153374233</v>
      </c>
      <c r="H120" s="27" t="n">
        <v>16170</v>
      </c>
      <c r="I120" s="27" t="n">
        <v>12136.5</v>
      </c>
      <c r="J120" s="27" t="n">
        <v>12136.5</v>
      </c>
      <c r="K120" s="11" t="n">
        <f aca="false">IF(I120=0,"",J120/I120)</f>
        <v>1</v>
      </c>
    </row>
    <row r="121" customFormat="false" ht="15" hidden="false" customHeight="false" outlineLevel="0" collapsed="false">
      <c r="A121" s="13" t="s">
        <v>57</v>
      </c>
      <c r="B121" s="13" t="s">
        <v>58</v>
      </c>
      <c r="C121" s="13" t="s">
        <v>100</v>
      </c>
      <c r="D121" s="9" t="n">
        <v>45748</v>
      </c>
      <c r="E121" s="26" t="n">
        <v>122.89</v>
      </c>
      <c r="F121" s="26" t="n">
        <v>93</v>
      </c>
      <c r="G121" s="11" t="n">
        <f aca="false">IF(E121=0,"",F121/E121)</f>
        <v>0.756774351045651</v>
      </c>
      <c r="H121" s="27" t="n">
        <v>25807.67</v>
      </c>
      <c r="I121" s="27" t="n">
        <v>19530</v>
      </c>
      <c r="J121" s="27" t="n">
        <v>19530</v>
      </c>
      <c r="K121" s="11" t="n">
        <f aca="false">IF(I121=0,"",J121/I121)</f>
        <v>1</v>
      </c>
    </row>
    <row r="122" customFormat="false" ht="15" hidden="false" customHeight="false" outlineLevel="0" collapsed="false">
      <c r="A122" s="13" t="s">
        <v>57</v>
      </c>
      <c r="B122" s="13" t="s">
        <v>58</v>
      </c>
      <c r="C122" s="13" t="s">
        <v>101</v>
      </c>
      <c r="D122" s="9" t="n">
        <v>45748</v>
      </c>
      <c r="E122" s="26" t="n">
        <v>47.8</v>
      </c>
      <c r="F122" s="26" t="n">
        <v>45.9</v>
      </c>
      <c r="G122" s="11" t="n">
        <f aca="false">IF(E122=0,"",F122/E122)</f>
        <v>0.960251046025105</v>
      </c>
      <c r="H122" s="27" t="n">
        <v>13144.34</v>
      </c>
      <c r="I122" s="27" t="n">
        <v>12622.5</v>
      </c>
      <c r="J122" s="27" t="n">
        <v>12622.5</v>
      </c>
      <c r="K122" s="11" t="n">
        <f aca="false">IF(I122=0,"",J122/I122)</f>
        <v>1</v>
      </c>
    </row>
    <row r="123" customFormat="false" ht="15" hidden="false" customHeight="false" outlineLevel="0" collapsed="false">
      <c r="A123" s="13" t="s">
        <v>57</v>
      </c>
      <c r="B123" s="13" t="s">
        <v>58</v>
      </c>
      <c r="C123" s="13" t="s">
        <v>102</v>
      </c>
      <c r="D123" s="9" t="n">
        <v>45748</v>
      </c>
      <c r="E123" s="26" t="n">
        <v>18.67</v>
      </c>
      <c r="F123" s="26" t="n">
        <v>14.3</v>
      </c>
      <c r="G123" s="11" t="n">
        <f aca="false">IF(E123=0,"",F123/E123)</f>
        <v>0.765934654525977</v>
      </c>
      <c r="H123" s="27" t="n">
        <v>7188.92</v>
      </c>
      <c r="I123" s="27" t="n">
        <v>5505.5</v>
      </c>
      <c r="J123" s="27" t="n">
        <v>5505.5</v>
      </c>
      <c r="K123" s="11" t="n">
        <f aca="false">IF(I123=0,"",J123/I123)</f>
        <v>1</v>
      </c>
    </row>
    <row r="124" customFormat="false" ht="15" hidden="false" customHeight="false" outlineLevel="0" collapsed="false">
      <c r="A124" s="13" t="s">
        <v>57</v>
      </c>
      <c r="B124" s="13" t="s">
        <v>58</v>
      </c>
      <c r="C124" s="13" t="s">
        <v>99</v>
      </c>
      <c r="D124" s="9" t="n">
        <v>45778</v>
      </c>
      <c r="E124" s="26" t="n">
        <v>106.58</v>
      </c>
      <c r="F124" s="26" t="n">
        <v>66.6</v>
      </c>
      <c r="G124" s="11" t="n">
        <f aca="false">IF(E124=0,"",F124/E124)</f>
        <v>0.624882717207731</v>
      </c>
      <c r="H124" s="27" t="n">
        <v>16519.38</v>
      </c>
      <c r="I124" s="27" t="n">
        <v>10323</v>
      </c>
      <c r="J124" s="27" t="n">
        <v>10323</v>
      </c>
      <c r="K124" s="11" t="n">
        <f aca="false">IF(I124=0,"",J124/I124)</f>
        <v>1</v>
      </c>
    </row>
    <row r="125" customFormat="false" ht="15" hidden="false" customHeight="false" outlineLevel="0" collapsed="false">
      <c r="A125" s="13" t="s">
        <v>57</v>
      </c>
      <c r="B125" s="13" t="s">
        <v>58</v>
      </c>
      <c r="C125" s="13" t="s">
        <v>100</v>
      </c>
      <c r="D125" s="9" t="n">
        <v>45778</v>
      </c>
      <c r="E125" s="26" t="n">
        <v>125.55</v>
      </c>
      <c r="F125" s="26" t="n">
        <v>98.2</v>
      </c>
      <c r="G125" s="11" t="n">
        <f aca="false">IF(E125=0,"",F125/E125)</f>
        <v>0.78215850258861</v>
      </c>
      <c r="H125" s="27" t="n">
        <v>26365.28</v>
      </c>
      <c r="I125" s="27" t="n">
        <v>20622</v>
      </c>
      <c r="J125" s="27" t="n">
        <v>21182</v>
      </c>
      <c r="K125" s="11" t="n">
        <f aca="false">IF(I125=0,"",J125/I125)</f>
        <v>1.02715546503734</v>
      </c>
    </row>
    <row r="126" customFormat="false" ht="15" hidden="false" customHeight="false" outlineLevel="0" collapsed="false">
      <c r="A126" s="13" t="s">
        <v>57</v>
      </c>
      <c r="B126" s="13" t="s">
        <v>58</v>
      </c>
      <c r="C126" s="13" t="s">
        <v>101</v>
      </c>
      <c r="D126" s="9" t="n">
        <v>45778</v>
      </c>
      <c r="E126" s="26" t="n">
        <v>48.83</v>
      </c>
      <c r="F126" s="26" t="n">
        <v>32.4</v>
      </c>
      <c r="G126" s="11" t="n">
        <f aca="false">IF(E126=0,"",F126/E126)</f>
        <v>0.66352652058161</v>
      </c>
      <c r="H126" s="27" t="n">
        <v>13428.35</v>
      </c>
      <c r="I126" s="27" t="n">
        <v>8910</v>
      </c>
      <c r="J126" s="27" t="n">
        <v>8910</v>
      </c>
      <c r="K126" s="11" t="n">
        <f aca="false">IF(I126=0,"",J126/I126)</f>
        <v>1</v>
      </c>
    </row>
    <row r="127" customFormat="false" ht="15" hidden="false" customHeight="false" outlineLevel="0" collapsed="false">
      <c r="A127" s="13" t="s">
        <v>57</v>
      </c>
      <c r="B127" s="13" t="s">
        <v>58</v>
      </c>
      <c r="C127" s="13" t="s">
        <v>102</v>
      </c>
      <c r="D127" s="9" t="n">
        <v>45778</v>
      </c>
      <c r="E127" s="26" t="n">
        <v>19.08</v>
      </c>
      <c r="F127" s="26" t="n">
        <v>14.1</v>
      </c>
      <c r="G127" s="11" t="n">
        <f aca="false">IF(E127=0,"",F127/E127)</f>
        <v>0.738993710691824</v>
      </c>
      <c r="H127" s="27" t="n">
        <v>7344.25</v>
      </c>
      <c r="I127" s="27" t="n">
        <v>5428.5</v>
      </c>
      <c r="J127" s="27" t="n">
        <v>5428.5</v>
      </c>
      <c r="K127" s="11" t="n">
        <f aca="false">IF(I127=0,"",J127/I127)</f>
        <v>1</v>
      </c>
    </row>
    <row r="128" customFormat="false" ht="15" hidden="false" customHeight="false" outlineLevel="0" collapsed="false">
      <c r="A128" s="13" t="s">
        <v>57</v>
      </c>
      <c r="B128" s="13" t="s">
        <v>58</v>
      </c>
      <c r="C128" s="13" t="s">
        <v>99</v>
      </c>
      <c r="D128" s="9" t="n">
        <v>45809</v>
      </c>
      <c r="E128" s="26" t="n">
        <v>104.32</v>
      </c>
      <c r="F128" s="26" t="n">
        <v>62.2</v>
      </c>
      <c r="G128" s="11" t="n">
        <f aca="false">IF(E128=0,"",F128/E128)</f>
        <v>0.596242331288344</v>
      </c>
      <c r="H128" s="27" t="n">
        <v>16170</v>
      </c>
      <c r="I128" s="27" t="n">
        <v>9641</v>
      </c>
      <c r="J128" s="27" t="n">
        <v>9641</v>
      </c>
      <c r="K128" s="11" t="n">
        <f aca="false">IF(I128=0,"",J128/I128)</f>
        <v>1</v>
      </c>
    </row>
    <row r="129" customFormat="false" ht="15" hidden="false" customHeight="false" outlineLevel="0" collapsed="false">
      <c r="A129" s="13" t="s">
        <v>57</v>
      </c>
      <c r="B129" s="13" t="s">
        <v>58</v>
      </c>
      <c r="C129" s="13" t="s">
        <v>100</v>
      </c>
      <c r="D129" s="9" t="n">
        <v>45809</v>
      </c>
      <c r="E129" s="26" t="n">
        <v>122.89</v>
      </c>
      <c r="F129" s="26" t="n">
        <v>78.1</v>
      </c>
      <c r="G129" s="11" t="n">
        <f aca="false">IF(E129=0,"",F129/E129)</f>
        <v>0.635527707706079</v>
      </c>
      <c r="H129" s="27" t="n">
        <v>25807.67</v>
      </c>
      <c r="I129" s="27" t="n">
        <v>16401</v>
      </c>
      <c r="J129" s="27" t="n">
        <v>16401</v>
      </c>
      <c r="K129" s="11" t="n">
        <f aca="false">IF(I129=0,"",J129/I129)</f>
        <v>1</v>
      </c>
    </row>
    <row r="130" customFormat="false" ht="15" hidden="false" customHeight="false" outlineLevel="0" collapsed="false">
      <c r="A130" s="13" t="s">
        <v>57</v>
      </c>
      <c r="B130" s="13" t="s">
        <v>58</v>
      </c>
      <c r="C130" s="13" t="s">
        <v>101</v>
      </c>
      <c r="D130" s="9" t="n">
        <v>45809</v>
      </c>
      <c r="E130" s="26" t="n">
        <v>47.8</v>
      </c>
      <c r="F130" s="26" t="n">
        <v>31.2</v>
      </c>
      <c r="G130" s="11" t="n">
        <f aca="false">IF(E130=0,"",F130/E130)</f>
        <v>0.652719665271967</v>
      </c>
      <c r="H130" s="27" t="n">
        <v>13144.34</v>
      </c>
      <c r="I130" s="27" t="n">
        <v>8580</v>
      </c>
      <c r="J130" s="27" t="n">
        <v>8580</v>
      </c>
      <c r="K130" s="11" t="n">
        <f aca="false">IF(I130=0,"",J130/I130)</f>
        <v>1</v>
      </c>
    </row>
    <row r="131" customFormat="false" ht="15" hidden="false" customHeight="false" outlineLevel="0" collapsed="false">
      <c r="A131" s="13" t="s">
        <v>57</v>
      </c>
      <c r="B131" s="13" t="s">
        <v>58</v>
      </c>
      <c r="C131" s="13" t="s">
        <v>102</v>
      </c>
      <c r="D131" s="9" t="n">
        <v>45809</v>
      </c>
      <c r="E131" s="26" t="n">
        <v>18.67</v>
      </c>
      <c r="F131" s="26" t="n">
        <v>11.6</v>
      </c>
      <c r="G131" s="11" t="n">
        <f aca="false">IF(E131=0,"",F131/E131)</f>
        <v>0.621317621853241</v>
      </c>
      <c r="H131" s="27" t="n">
        <v>7188.92</v>
      </c>
      <c r="I131" s="27" t="n">
        <v>4466</v>
      </c>
      <c r="J131" s="27" t="n">
        <v>4466</v>
      </c>
      <c r="K131" s="11" t="n">
        <f aca="false">IF(I131=0,"",J131/I131)</f>
        <v>1</v>
      </c>
    </row>
    <row r="132" customFormat="false" ht="15" hidden="false" customHeight="false" outlineLevel="0" collapsed="false">
      <c r="A132" s="13" t="s">
        <v>57</v>
      </c>
      <c r="B132" s="13" t="s">
        <v>58</v>
      </c>
      <c r="C132" s="13" t="s">
        <v>99</v>
      </c>
      <c r="D132" s="9" t="n">
        <v>45839</v>
      </c>
      <c r="E132" s="26" t="n">
        <v>97.71</v>
      </c>
      <c r="F132" s="26" t="n">
        <v>59.9</v>
      </c>
      <c r="G132" s="11" t="n">
        <f aca="false">IF(E132=0,"",F132/E132)</f>
        <v>0.613038583563607</v>
      </c>
      <c r="H132" s="27" t="n">
        <v>15145.68</v>
      </c>
      <c r="I132" s="27" t="n">
        <v>9284.5</v>
      </c>
      <c r="J132" s="27" t="n">
        <v>9284.5</v>
      </c>
      <c r="K132" s="11" t="n">
        <f aca="false">IF(I132=0,"",J132/I132)</f>
        <v>1</v>
      </c>
    </row>
    <row r="133" customFormat="false" ht="15" hidden="false" customHeight="false" outlineLevel="0" collapsed="false">
      <c r="A133" s="13" t="s">
        <v>57</v>
      </c>
      <c r="B133" s="13" t="s">
        <v>58</v>
      </c>
      <c r="C133" s="13" t="s">
        <v>100</v>
      </c>
      <c r="D133" s="9" t="n">
        <v>45839</v>
      </c>
      <c r="E133" s="26" t="n">
        <v>115.11</v>
      </c>
      <c r="F133" s="26" t="n">
        <v>63</v>
      </c>
      <c r="G133" s="11" t="n">
        <f aca="false">IF(E133=0,"",F133/E133)</f>
        <v>0.547302580140735</v>
      </c>
      <c r="H133" s="27" t="n">
        <v>24172.83</v>
      </c>
      <c r="I133" s="27" t="n">
        <v>13230</v>
      </c>
      <c r="J133" s="27" t="n">
        <v>13230</v>
      </c>
      <c r="K133" s="11" t="n">
        <f aca="false">IF(I133=0,"",J133/I133)</f>
        <v>1</v>
      </c>
    </row>
    <row r="134" customFormat="false" ht="15" hidden="false" customHeight="false" outlineLevel="0" collapsed="false">
      <c r="A134" s="13" t="s">
        <v>57</v>
      </c>
      <c r="B134" s="13" t="s">
        <v>58</v>
      </c>
      <c r="C134" s="13" t="s">
        <v>101</v>
      </c>
      <c r="D134" s="9" t="n">
        <v>45839</v>
      </c>
      <c r="E134" s="26" t="n">
        <v>44.77</v>
      </c>
      <c r="F134" s="26" t="n">
        <v>27.4</v>
      </c>
      <c r="G134" s="11" t="n">
        <f aca="false">IF(E134=0,"",F134/E134)</f>
        <v>0.612016975653339</v>
      </c>
      <c r="H134" s="27" t="n">
        <v>12311.69</v>
      </c>
      <c r="I134" s="27" t="n">
        <v>7535</v>
      </c>
      <c r="J134" s="27" t="n">
        <v>7535</v>
      </c>
      <c r="K134" s="11" t="n">
        <f aca="false">IF(I134=0,"",J134/I134)</f>
        <v>1</v>
      </c>
    </row>
    <row r="135" customFormat="false" ht="15" hidden="false" customHeight="false" outlineLevel="0" collapsed="false">
      <c r="A135" s="13" t="s">
        <v>57</v>
      </c>
      <c r="B135" s="13" t="s">
        <v>58</v>
      </c>
      <c r="C135" s="13" t="s">
        <v>102</v>
      </c>
      <c r="D135" s="9" t="n">
        <v>45839</v>
      </c>
      <c r="E135" s="26" t="n">
        <v>17.49</v>
      </c>
      <c r="F135" s="26" t="n">
        <v>10.1</v>
      </c>
      <c r="G135" s="11" t="n">
        <f aca="false">IF(E135=0,"",F135/E135)</f>
        <v>0.577472841623785</v>
      </c>
      <c r="H135" s="27" t="n">
        <v>6733.53</v>
      </c>
      <c r="I135" s="27" t="n">
        <v>3888.5</v>
      </c>
      <c r="J135" s="27" t="n">
        <v>3888.5</v>
      </c>
      <c r="K135" s="11" t="n">
        <f aca="false">IF(I135=0,"",J135/I135)</f>
        <v>1</v>
      </c>
    </row>
    <row r="136" customFormat="false" ht="15" hidden="false" customHeight="false" outlineLevel="0" collapsed="false">
      <c r="A136" s="13" t="s">
        <v>57</v>
      </c>
      <c r="B136" s="13" t="s">
        <v>58</v>
      </c>
      <c r="C136" s="13" t="s">
        <v>99</v>
      </c>
      <c r="D136" s="9" t="n">
        <v>45870</v>
      </c>
      <c r="E136" s="26" t="n">
        <v>87.2</v>
      </c>
      <c r="F136" s="26" t="n">
        <v>36.5</v>
      </c>
      <c r="G136" s="11" t="n">
        <f aca="false">IF(E136=0,"",F136/E136)</f>
        <v>0.418577981651376</v>
      </c>
      <c r="H136" s="27" t="n">
        <v>13516.23</v>
      </c>
      <c r="I136" s="27" t="n">
        <v>5657.5</v>
      </c>
      <c r="J136" s="27" t="n">
        <v>5657.5</v>
      </c>
      <c r="K136" s="11" t="n">
        <f aca="false">IF(I136=0,"",J136/I136)</f>
        <v>1</v>
      </c>
    </row>
    <row r="137" customFormat="false" ht="15" hidden="false" customHeight="false" outlineLevel="0" collapsed="false">
      <c r="A137" s="13" t="s">
        <v>57</v>
      </c>
      <c r="B137" s="13" t="s">
        <v>58</v>
      </c>
      <c r="C137" s="13" t="s">
        <v>100</v>
      </c>
      <c r="D137" s="9" t="n">
        <v>45870</v>
      </c>
      <c r="E137" s="26" t="n">
        <v>102.72</v>
      </c>
      <c r="F137" s="26" t="n">
        <v>34.3</v>
      </c>
      <c r="G137" s="11" t="n">
        <f aca="false">IF(E137=0,"",F137/E137)</f>
        <v>0.333917445482866</v>
      </c>
      <c r="H137" s="27" t="n">
        <v>21572.18</v>
      </c>
      <c r="I137" s="27" t="n">
        <v>7203</v>
      </c>
      <c r="J137" s="27" t="n">
        <v>7203</v>
      </c>
      <c r="K137" s="11" t="n">
        <f aca="false">IF(I137=0,"",J137/I137)</f>
        <v>1</v>
      </c>
    </row>
    <row r="138" customFormat="false" ht="15" hidden="false" customHeight="false" outlineLevel="0" collapsed="false">
      <c r="A138" s="13" t="s">
        <v>57</v>
      </c>
      <c r="B138" s="13" t="s">
        <v>58</v>
      </c>
      <c r="C138" s="13" t="s">
        <v>101</v>
      </c>
      <c r="D138" s="9" t="n">
        <v>45870</v>
      </c>
      <c r="E138" s="26" t="n">
        <v>39.95</v>
      </c>
      <c r="F138" s="26" t="n">
        <v>17.6</v>
      </c>
      <c r="G138" s="11" t="n">
        <f aca="false">IF(E138=0,"",F138/E138)</f>
        <v>0.440550688360451</v>
      </c>
      <c r="H138" s="27" t="n">
        <v>10987.13</v>
      </c>
      <c r="I138" s="27" t="n">
        <v>4840</v>
      </c>
      <c r="J138" s="27" t="n">
        <v>4840</v>
      </c>
      <c r="K138" s="11" t="n">
        <f aca="false">IF(I138=0,"",J138/I138)</f>
        <v>1</v>
      </c>
    </row>
    <row r="139" customFormat="false" ht="15" hidden="false" customHeight="false" outlineLevel="0" collapsed="false">
      <c r="A139" s="13" t="s">
        <v>57</v>
      </c>
      <c r="B139" s="13" t="s">
        <v>58</v>
      </c>
      <c r="C139" s="13" t="s">
        <v>102</v>
      </c>
      <c r="D139" s="9" t="n">
        <v>45870</v>
      </c>
      <c r="E139" s="26" t="n">
        <v>15.61</v>
      </c>
      <c r="F139" s="26" t="n">
        <v>6.9</v>
      </c>
      <c r="G139" s="11" t="n">
        <f aca="false">IF(E139=0,"",F139/E139)</f>
        <v>0.442024343369635</v>
      </c>
      <c r="H139" s="27" t="n">
        <v>6009.1</v>
      </c>
      <c r="I139" s="27" t="n">
        <v>2656.5</v>
      </c>
      <c r="J139" s="27" t="n">
        <v>2656.5</v>
      </c>
      <c r="K139" s="11" t="n">
        <f aca="false">IF(I139=0,"",J139/I139)</f>
        <v>1</v>
      </c>
    </row>
    <row r="140" customFormat="false" ht="15" hidden="false" customHeight="false" outlineLevel="0" collapsed="false">
      <c r="A140" s="13" t="s">
        <v>60</v>
      </c>
      <c r="B140" s="13" t="s">
        <v>61</v>
      </c>
      <c r="C140" s="13" t="s">
        <v>99</v>
      </c>
      <c r="D140" s="9" t="n">
        <v>45717</v>
      </c>
      <c r="E140" s="26" t="n">
        <v>54.8</v>
      </c>
      <c r="F140" s="26" t="n">
        <v>58.2</v>
      </c>
      <c r="G140" s="11" t="n">
        <f aca="false">IF(E140=0,"",F140/E140)</f>
        <v>1.06204379562044</v>
      </c>
      <c r="H140" s="27" t="n">
        <v>8493.86</v>
      </c>
      <c r="I140" s="27" t="n">
        <v>9021</v>
      </c>
      <c r="J140" s="27" t="n">
        <v>9021</v>
      </c>
      <c r="K140" s="11" t="n">
        <f aca="false">IF(I140=0,"",J140/I140)</f>
        <v>1</v>
      </c>
    </row>
    <row r="141" customFormat="false" ht="15" hidden="false" customHeight="false" outlineLevel="0" collapsed="false">
      <c r="A141" s="13" t="s">
        <v>60</v>
      </c>
      <c r="B141" s="13" t="s">
        <v>61</v>
      </c>
      <c r="C141" s="13" t="s">
        <v>100</v>
      </c>
      <c r="D141" s="9" t="n">
        <v>45717</v>
      </c>
      <c r="E141" s="26" t="n">
        <v>75.64</v>
      </c>
      <c r="F141" s="26" t="n">
        <v>99.9</v>
      </c>
      <c r="G141" s="11" t="n">
        <f aca="false">IF(E141=0,"",F141/E141)</f>
        <v>1.32072977260709</v>
      </c>
      <c r="H141" s="27" t="n">
        <v>15884.2</v>
      </c>
      <c r="I141" s="27" t="n">
        <v>20979</v>
      </c>
      <c r="J141" s="27" t="n">
        <v>20979</v>
      </c>
      <c r="K141" s="11" t="n">
        <f aca="false">IF(I141=0,"",J141/I141)</f>
        <v>1</v>
      </c>
    </row>
    <row r="142" customFormat="false" ht="15" hidden="false" customHeight="false" outlineLevel="0" collapsed="false">
      <c r="A142" s="13" t="s">
        <v>60</v>
      </c>
      <c r="B142" s="13" t="s">
        <v>61</v>
      </c>
      <c r="C142" s="13" t="s">
        <v>101</v>
      </c>
      <c r="D142" s="9" t="n">
        <v>45717</v>
      </c>
      <c r="E142" s="26" t="n">
        <v>22.81</v>
      </c>
      <c r="F142" s="26" t="n">
        <v>23.5</v>
      </c>
      <c r="G142" s="11" t="n">
        <f aca="false">IF(E142=0,"",F142/E142)</f>
        <v>1.03024989039895</v>
      </c>
      <c r="H142" s="27" t="n">
        <v>6273.74</v>
      </c>
      <c r="I142" s="27" t="n">
        <v>6462.5</v>
      </c>
      <c r="J142" s="27" t="n">
        <v>6462.5</v>
      </c>
      <c r="K142" s="11" t="n">
        <f aca="false">IF(I142=0,"",J142/I142)</f>
        <v>1</v>
      </c>
    </row>
    <row r="143" customFormat="false" ht="15" hidden="false" customHeight="false" outlineLevel="0" collapsed="false">
      <c r="A143" s="13" t="s">
        <v>60</v>
      </c>
      <c r="B143" s="13" t="s">
        <v>61</v>
      </c>
      <c r="C143" s="13" t="s">
        <v>102</v>
      </c>
      <c r="D143" s="9" t="n">
        <v>45717</v>
      </c>
      <c r="E143" s="26" t="n">
        <v>9.87</v>
      </c>
      <c r="F143" s="26" t="n">
        <v>10.6</v>
      </c>
      <c r="G143" s="11" t="n">
        <f aca="false">IF(E143=0,"",F143/E143)</f>
        <v>1.07396149949341</v>
      </c>
      <c r="H143" s="27" t="n">
        <v>3799.37</v>
      </c>
      <c r="I143" s="27" t="n">
        <v>4081</v>
      </c>
      <c r="J143" s="27" t="n">
        <v>4081</v>
      </c>
      <c r="K143" s="11" t="n">
        <f aca="false">IF(I143=0,"",J143/I143)</f>
        <v>1</v>
      </c>
    </row>
    <row r="144" customFormat="false" ht="15" hidden="false" customHeight="false" outlineLevel="0" collapsed="false">
      <c r="A144" s="13" t="s">
        <v>60</v>
      </c>
      <c r="B144" s="13" t="s">
        <v>61</v>
      </c>
      <c r="C144" s="13" t="s">
        <v>99</v>
      </c>
      <c r="D144" s="9" t="n">
        <v>45748</v>
      </c>
      <c r="E144" s="26" t="n">
        <v>89.11</v>
      </c>
      <c r="F144" s="26" t="n">
        <v>149.9</v>
      </c>
      <c r="G144" s="11" t="n">
        <f aca="false">IF(E144=0,"",F144/E144)</f>
        <v>1.68219055100438</v>
      </c>
      <c r="H144" s="27" t="n">
        <v>13812.8</v>
      </c>
      <c r="I144" s="27" t="n">
        <v>23234.5</v>
      </c>
      <c r="J144" s="27" t="n">
        <v>23234.5</v>
      </c>
      <c r="K144" s="11" t="n">
        <f aca="false">IF(I144=0,"",J144/I144)</f>
        <v>1</v>
      </c>
    </row>
    <row r="145" customFormat="false" ht="15" hidden="false" customHeight="false" outlineLevel="0" collapsed="false">
      <c r="A145" s="13" t="s">
        <v>60</v>
      </c>
      <c r="B145" s="13" t="s">
        <v>61</v>
      </c>
      <c r="C145" s="13" t="s">
        <v>100</v>
      </c>
      <c r="D145" s="9" t="n">
        <v>45748</v>
      </c>
      <c r="E145" s="26" t="n">
        <v>123</v>
      </c>
      <c r="F145" s="26" t="n">
        <v>198.7</v>
      </c>
      <c r="G145" s="11" t="n">
        <f aca="false">IF(E145=0,"",F145/E145)</f>
        <v>1.61544715447154</v>
      </c>
      <c r="H145" s="27" t="n">
        <v>25831.03</v>
      </c>
      <c r="I145" s="27" t="n">
        <v>41727</v>
      </c>
      <c r="J145" s="27" t="n">
        <v>41727</v>
      </c>
      <c r="K145" s="11" t="n">
        <f aca="false">IF(I145=0,"",J145/I145)</f>
        <v>1</v>
      </c>
    </row>
    <row r="146" customFormat="false" ht="15" hidden="false" customHeight="false" outlineLevel="0" collapsed="false">
      <c r="A146" s="13" t="s">
        <v>60</v>
      </c>
      <c r="B146" s="13" t="s">
        <v>61</v>
      </c>
      <c r="C146" s="13" t="s">
        <v>101</v>
      </c>
      <c r="D146" s="9" t="n">
        <v>45748</v>
      </c>
      <c r="E146" s="26" t="n">
        <v>37.1</v>
      </c>
      <c r="F146" s="26" t="n">
        <v>69.9</v>
      </c>
      <c r="G146" s="11" t="n">
        <f aca="false">IF(E146=0,"",F146/E146)</f>
        <v>1.88409703504043</v>
      </c>
      <c r="H146" s="27" t="n">
        <v>10202.42</v>
      </c>
      <c r="I146" s="27" t="n">
        <v>19222.5</v>
      </c>
      <c r="J146" s="27" t="n">
        <v>19222.5</v>
      </c>
      <c r="K146" s="11" t="n">
        <f aca="false">IF(I146=0,"",J146/I146)</f>
        <v>1</v>
      </c>
    </row>
    <row r="147" customFormat="false" ht="15" hidden="false" customHeight="false" outlineLevel="0" collapsed="false">
      <c r="A147" s="13" t="s">
        <v>60</v>
      </c>
      <c r="B147" s="13" t="s">
        <v>61</v>
      </c>
      <c r="C147" s="13" t="s">
        <v>102</v>
      </c>
      <c r="D147" s="9" t="n">
        <v>45748</v>
      </c>
      <c r="E147" s="26" t="n">
        <v>16.05</v>
      </c>
      <c r="F147" s="26" t="n">
        <v>25.7</v>
      </c>
      <c r="G147" s="11" t="n">
        <f aca="false">IF(E147=0,"",F147/E147)</f>
        <v>1.601246105919</v>
      </c>
      <c r="H147" s="27" t="n">
        <v>6178.57</v>
      </c>
      <c r="I147" s="27" t="n">
        <v>9894.5</v>
      </c>
      <c r="J147" s="27" t="n">
        <v>9894.5</v>
      </c>
      <c r="K147" s="11" t="n">
        <f aca="false">IF(I147=0,"",J147/I147)</f>
        <v>1</v>
      </c>
    </row>
    <row r="148" customFormat="false" ht="15" hidden="false" customHeight="false" outlineLevel="0" collapsed="false">
      <c r="A148" s="13" t="s">
        <v>60</v>
      </c>
      <c r="B148" s="13" t="s">
        <v>61</v>
      </c>
      <c r="C148" s="13" t="s">
        <v>99</v>
      </c>
      <c r="D148" s="9" t="n">
        <v>45778</v>
      </c>
      <c r="E148" s="26" t="n">
        <v>118.21</v>
      </c>
      <c r="F148" s="26" t="n">
        <v>175.5</v>
      </c>
      <c r="G148" s="11" t="n">
        <f aca="false">IF(E148=0,"",F148/E148)</f>
        <v>1.48464596903815</v>
      </c>
      <c r="H148" s="27" t="n">
        <v>18321.97</v>
      </c>
      <c r="I148" s="27" t="n">
        <v>27202.5</v>
      </c>
      <c r="J148" s="27" t="n">
        <v>27202.5</v>
      </c>
      <c r="K148" s="11" t="n">
        <f aca="false">IF(I148=0,"",J148/I148)</f>
        <v>1</v>
      </c>
    </row>
    <row r="149" customFormat="false" ht="15" hidden="false" customHeight="false" outlineLevel="0" collapsed="false">
      <c r="A149" s="13" t="s">
        <v>60</v>
      </c>
      <c r="B149" s="13" t="s">
        <v>61</v>
      </c>
      <c r="C149" s="13" t="s">
        <v>100</v>
      </c>
      <c r="D149" s="9" t="n">
        <v>45778</v>
      </c>
      <c r="E149" s="26" t="n">
        <v>163.16</v>
      </c>
      <c r="F149" s="26" t="n">
        <v>227.6</v>
      </c>
      <c r="G149" s="11" t="n">
        <f aca="false">IF(E149=0,"",F149/E149)</f>
        <v>1.39494974258397</v>
      </c>
      <c r="H149" s="27" t="n">
        <v>34263.54</v>
      </c>
      <c r="I149" s="27" t="n">
        <v>47796</v>
      </c>
      <c r="J149" s="27" t="n">
        <v>47796</v>
      </c>
      <c r="K149" s="11" t="n">
        <f aca="false">IF(I149=0,"",J149/I149)</f>
        <v>1</v>
      </c>
    </row>
    <row r="150" customFormat="false" ht="15" hidden="false" customHeight="false" outlineLevel="0" collapsed="false">
      <c r="A150" s="13" t="s">
        <v>60</v>
      </c>
      <c r="B150" s="13" t="s">
        <v>61</v>
      </c>
      <c r="C150" s="13" t="s">
        <v>101</v>
      </c>
      <c r="D150" s="9" t="n">
        <v>45778</v>
      </c>
      <c r="E150" s="26" t="n">
        <v>49.21</v>
      </c>
      <c r="F150" s="26" t="n">
        <v>75.5</v>
      </c>
      <c r="G150" s="11" t="n">
        <f aca="false">IF(E150=0,"",F150/E150)</f>
        <v>1.53424100792522</v>
      </c>
      <c r="H150" s="27" t="n">
        <v>13532.99</v>
      </c>
      <c r="I150" s="27" t="n">
        <v>20762.5</v>
      </c>
      <c r="J150" s="27" t="n">
        <v>20762.5</v>
      </c>
      <c r="K150" s="11" t="n">
        <f aca="false">IF(I150=0,"",J150/I150)</f>
        <v>1</v>
      </c>
    </row>
    <row r="151" customFormat="false" ht="15" hidden="false" customHeight="false" outlineLevel="0" collapsed="false">
      <c r="A151" s="13" t="s">
        <v>60</v>
      </c>
      <c r="B151" s="13" t="s">
        <v>61</v>
      </c>
      <c r="C151" s="13" t="s">
        <v>102</v>
      </c>
      <c r="D151" s="9" t="n">
        <v>45778</v>
      </c>
      <c r="E151" s="26" t="n">
        <v>21.29</v>
      </c>
      <c r="F151" s="26" t="n">
        <v>39.4</v>
      </c>
      <c r="G151" s="11" t="n">
        <f aca="false">IF(E151=0,"",F151/E151)</f>
        <v>1.85063410051667</v>
      </c>
      <c r="H151" s="27" t="n">
        <v>8195.55</v>
      </c>
      <c r="I151" s="27" t="n">
        <v>15169</v>
      </c>
      <c r="J151" s="27" t="n">
        <v>15169</v>
      </c>
      <c r="K151" s="11" t="n">
        <f aca="false">IF(I151=0,"",J151/I151)</f>
        <v>1</v>
      </c>
    </row>
    <row r="152" customFormat="false" ht="15" hidden="false" customHeight="false" outlineLevel="0" collapsed="false">
      <c r="A152" s="13" t="s">
        <v>60</v>
      </c>
      <c r="B152" s="13" t="s">
        <v>61</v>
      </c>
      <c r="C152" s="13" t="s">
        <v>99</v>
      </c>
      <c r="D152" s="9" t="n">
        <v>45809</v>
      </c>
      <c r="E152" s="26" t="n">
        <v>137.64</v>
      </c>
      <c r="F152" s="26" t="n">
        <v>191</v>
      </c>
      <c r="G152" s="11" t="n">
        <f aca="false">IF(E152=0,"",F152/E152)</f>
        <v>1.38767800058123</v>
      </c>
      <c r="H152" s="27" t="n">
        <v>21334.91</v>
      </c>
      <c r="I152" s="27" t="n">
        <v>29605</v>
      </c>
      <c r="J152" s="27" t="n">
        <v>29803</v>
      </c>
      <c r="K152" s="11" t="n">
        <f aca="false">IF(I152=0,"",J152/I152)</f>
        <v>1.00668805944942</v>
      </c>
    </row>
    <row r="153" customFormat="false" ht="15" hidden="false" customHeight="false" outlineLevel="0" collapsed="false">
      <c r="A153" s="13" t="s">
        <v>60</v>
      </c>
      <c r="B153" s="13" t="s">
        <v>61</v>
      </c>
      <c r="C153" s="13" t="s">
        <v>100</v>
      </c>
      <c r="D153" s="9" t="n">
        <v>45809</v>
      </c>
      <c r="E153" s="26" t="n">
        <v>189.99</v>
      </c>
      <c r="F153" s="26" t="n">
        <v>261.4</v>
      </c>
      <c r="G153" s="11" t="n">
        <f aca="false">IF(E153=0,"",F153/E153)</f>
        <v>1.37586188746776</v>
      </c>
      <c r="H153" s="27" t="n">
        <v>39897.97</v>
      </c>
      <c r="I153" s="27" t="n">
        <v>54894</v>
      </c>
      <c r="J153" s="27" t="n">
        <v>54718</v>
      </c>
      <c r="K153" s="11" t="n">
        <f aca="false">IF(I153=0,"",J153/I153)</f>
        <v>0.996793820818304</v>
      </c>
    </row>
    <row r="154" customFormat="false" ht="15" hidden="false" customHeight="false" outlineLevel="0" collapsed="false">
      <c r="A154" s="13" t="s">
        <v>60</v>
      </c>
      <c r="B154" s="13" t="s">
        <v>61</v>
      </c>
      <c r="C154" s="13" t="s">
        <v>101</v>
      </c>
      <c r="D154" s="9" t="n">
        <v>45809</v>
      </c>
      <c r="E154" s="26" t="n">
        <v>57.3</v>
      </c>
      <c r="F154" s="26" t="n">
        <v>80.9</v>
      </c>
      <c r="G154" s="11" t="n">
        <f aca="false">IF(E154=0,"",F154/E154)</f>
        <v>1.41186736474695</v>
      </c>
      <c r="H154" s="27" t="n">
        <v>15758.41</v>
      </c>
      <c r="I154" s="27" t="n">
        <v>22247.5</v>
      </c>
      <c r="J154" s="27" t="n">
        <v>22665.5</v>
      </c>
      <c r="K154" s="11" t="n">
        <f aca="false">IF(I154=0,"",J154/I154)</f>
        <v>1.01878862793572</v>
      </c>
    </row>
    <row r="155" customFormat="false" ht="15" hidden="false" customHeight="false" outlineLevel="0" collapsed="false">
      <c r="A155" s="13" t="s">
        <v>60</v>
      </c>
      <c r="B155" s="13" t="s">
        <v>61</v>
      </c>
      <c r="C155" s="13" t="s">
        <v>102</v>
      </c>
      <c r="D155" s="9" t="n">
        <v>45809</v>
      </c>
      <c r="E155" s="26" t="n">
        <v>24.79</v>
      </c>
      <c r="F155" s="26" t="n">
        <v>39.4</v>
      </c>
      <c r="G155" s="11" t="n">
        <f aca="false">IF(E155=0,"",F155/E155)</f>
        <v>1.58935054457443</v>
      </c>
      <c r="H155" s="27" t="n">
        <v>9543.26</v>
      </c>
      <c r="I155" s="27" t="n">
        <v>15169</v>
      </c>
      <c r="J155" s="27" t="n">
        <v>15169</v>
      </c>
      <c r="K155" s="11" t="n">
        <f aca="false">IF(I155=0,"",J155/I155)</f>
        <v>1</v>
      </c>
    </row>
    <row r="156" customFormat="false" ht="15" hidden="false" customHeight="false" outlineLevel="0" collapsed="false">
      <c r="A156" s="13" t="s">
        <v>60</v>
      </c>
      <c r="B156" s="13" t="s">
        <v>61</v>
      </c>
      <c r="C156" s="13" t="s">
        <v>99</v>
      </c>
      <c r="D156" s="9" t="n">
        <v>45839</v>
      </c>
      <c r="E156" s="26" t="n">
        <v>144.47</v>
      </c>
      <c r="F156" s="26" t="n">
        <v>162.2</v>
      </c>
      <c r="G156" s="11" t="n">
        <f aca="false">IF(E156=0,"",F156/E156)</f>
        <v>1.12272444106043</v>
      </c>
      <c r="H156" s="27" t="n">
        <v>22392.91</v>
      </c>
      <c r="I156" s="27" t="n">
        <v>25141</v>
      </c>
      <c r="J156" s="27" t="n">
        <v>25141</v>
      </c>
      <c r="K156" s="11" t="n">
        <f aca="false">IF(I156=0,"",J156/I156)</f>
        <v>1</v>
      </c>
    </row>
    <row r="157" customFormat="false" ht="15" hidden="false" customHeight="false" outlineLevel="0" collapsed="false">
      <c r="A157" s="13" t="s">
        <v>60</v>
      </c>
      <c r="B157" s="13" t="s">
        <v>61</v>
      </c>
      <c r="C157" s="13" t="s">
        <v>100</v>
      </c>
      <c r="D157" s="9" t="n">
        <v>45839</v>
      </c>
      <c r="E157" s="26" t="n">
        <v>199.41</v>
      </c>
      <c r="F157" s="26" t="n">
        <v>201.2</v>
      </c>
      <c r="G157" s="11" t="n">
        <f aca="false">IF(E157=0,"",F157/E157)</f>
        <v>1.00897648061782</v>
      </c>
      <c r="H157" s="27" t="n">
        <v>41876.52</v>
      </c>
      <c r="I157" s="27" t="n">
        <v>42252</v>
      </c>
      <c r="J157" s="27" t="n">
        <v>42252</v>
      </c>
      <c r="K157" s="11" t="n">
        <f aca="false">IF(I157=0,"",J157/I157)</f>
        <v>1</v>
      </c>
    </row>
    <row r="158" customFormat="false" ht="15" hidden="false" customHeight="false" outlineLevel="0" collapsed="false">
      <c r="A158" s="13" t="s">
        <v>60</v>
      </c>
      <c r="B158" s="13" t="s">
        <v>61</v>
      </c>
      <c r="C158" s="13" t="s">
        <v>101</v>
      </c>
      <c r="D158" s="9" t="n">
        <v>45839</v>
      </c>
      <c r="E158" s="26" t="n">
        <v>60.14</v>
      </c>
      <c r="F158" s="26" t="n">
        <v>59.8</v>
      </c>
      <c r="G158" s="11" t="n">
        <f aca="false">IF(E158=0,"",F158/E158)</f>
        <v>0.994346524775524</v>
      </c>
      <c r="H158" s="27" t="n">
        <v>16539.87</v>
      </c>
      <c r="I158" s="27" t="n">
        <v>16445</v>
      </c>
      <c r="J158" s="27" t="n">
        <v>16445</v>
      </c>
      <c r="K158" s="11" t="n">
        <f aca="false">IF(I158=0,"",J158/I158)</f>
        <v>1</v>
      </c>
    </row>
    <row r="159" customFormat="false" ht="15" hidden="false" customHeight="false" outlineLevel="0" collapsed="false">
      <c r="A159" s="13" t="s">
        <v>60</v>
      </c>
      <c r="B159" s="13" t="s">
        <v>61</v>
      </c>
      <c r="C159" s="13" t="s">
        <v>102</v>
      </c>
      <c r="D159" s="9" t="n">
        <v>45839</v>
      </c>
      <c r="E159" s="26" t="n">
        <v>26.02</v>
      </c>
      <c r="F159" s="26" t="n">
        <v>23.5</v>
      </c>
      <c r="G159" s="11" t="n">
        <f aca="false">IF(E159=0,"",F159/E159)</f>
        <v>0.90315142198309</v>
      </c>
      <c r="H159" s="27" t="n">
        <v>10016.51</v>
      </c>
      <c r="I159" s="27" t="n">
        <v>9047.5</v>
      </c>
      <c r="J159" s="27" t="n">
        <v>9047.5</v>
      </c>
      <c r="K159" s="11" t="n">
        <f aca="false">IF(I159=0,"",J159/I159)</f>
        <v>1</v>
      </c>
    </row>
    <row r="160" customFormat="false" ht="15" hidden="false" customHeight="false" outlineLevel="0" collapsed="false">
      <c r="A160" s="13" t="s">
        <v>60</v>
      </c>
      <c r="B160" s="13" t="s">
        <v>61</v>
      </c>
      <c r="C160" s="13" t="s">
        <v>99</v>
      </c>
      <c r="D160" s="9" t="n">
        <v>45870</v>
      </c>
      <c r="E160" s="26" t="n">
        <v>137.64</v>
      </c>
      <c r="F160" s="26" t="n">
        <v>69.8</v>
      </c>
      <c r="G160" s="11" t="n">
        <f aca="false">IF(E160=0,"",F160/E160)</f>
        <v>0.507120023249056</v>
      </c>
      <c r="H160" s="27" t="n">
        <v>21334.91</v>
      </c>
      <c r="I160" s="27" t="n">
        <v>10819</v>
      </c>
      <c r="J160" s="27" t="n">
        <v>10819</v>
      </c>
      <c r="K160" s="11" t="n">
        <f aca="false">IF(I160=0,"",J160/I160)</f>
        <v>1</v>
      </c>
    </row>
    <row r="161" customFormat="false" ht="15" hidden="false" customHeight="false" outlineLevel="0" collapsed="false">
      <c r="A161" s="13" t="s">
        <v>60</v>
      </c>
      <c r="B161" s="13" t="s">
        <v>61</v>
      </c>
      <c r="C161" s="13" t="s">
        <v>100</v>
      </c>
      <c r="D161" s="9" t="n">
        <v>45870</v>
      </c>
      <c r="E161" s="26" t="n">
        <v>189.99</v>
      </c>
      <c r="F161" s="26" t="n">
        <v>101.7</v>
      </c>
      <c r="G161" s="11" t="n">
        <f aca="false">IF(E161=0,"",F161/E161)</f>
        <v>0.535291331122691</v>
      </c>
      <c r="H161" s="27" t="n">
        <v>39897.97</v>
      </c>
      <c r="I161" s="27" t="n">
        <v>21357</v>
      </c>
      <c r="J161" s="27" t="n">
        <v>21357</v>
      </c>
      <c r="K161" s="11" t="n">
        <f aca="false">IF(I161=0,"",J161/I161)</f>
        <v>1</v>
      </c>
    </row>
    <row r="162" customFormat="false" ht="15" hidden="false" customHeight="false" outlineLevel="0" collapsed="false">
      <c r="A162" s="13" t="s">
        <v>60</v>
      </c>
      <c r="B162" s="13" t="s">
        <v>61</v>
      </c>
      <c r="C162" s="13" t="s">
        <v>101</v>
      </c>
      <c r="D162" s="9" t="n">
        <v>45870</v>
      </c>
      <c r="E162" s="26" t="n">
        <v>57.3</v>
      </c>
      <c r="F162" s="26" t="n">
        <v>24.8</v>
      </c>
      <c r="G162" s="11" t="n">
        <f aca="false">IF(E162=0,"",F162/E162)</f>
        <v>0.432809773123909</v>
      </c>
      <c r="H162" s="27" t="n">
        <v>15758.41</v>
      </c>
      <c r="I162" s="27" t="n">
        <v>6820</v>
      </c>
      <c r="J162" s="27" t="n">
        <v>6820</v>
      </c>
      <c r="K162" s="11" t="n">
        <f aca="false">IF(I162=0,"",J162/I162)</f>
        <v>1</v>
      </c>
    </row>
    <row r="163" customFormat="false" ht="15" hidden="false" customHeight="false" outlineLevel="0" collapsed="false">
      <c r="A163" s="13" t="s">
        <v>60</v>
      </c>
      <c r="B163" s="13" t="s">
        <v>61</v>
      </c>
      <c r="C163" s="13" t="s">
        <v>102</v>
      </c>
      <c r="D163" s="9" t="n">
        <v>45870</v>
      </c>
      <c r="E163" s="26" t="n">
        <v>24.79</v>
      </c>
      <c r="F163" s="26" t="n">
        <v>15.4</v>
      </c>
      <c r="G163" s="11" t="n">
        <f aca="false">IF(E163=0,"",F163/E163)</f>
        <v>0.621218233158532</v>
      </c>
      <c r="H163" s="27" t="n">
        <v>9543.26</v>
      </c>
      <c r="I163" s="27" t="n">
        <v>5929</v>
      </c>
      <c r="J163" s="27" t="n">
        <v>5929</v>
      </c>
      <c r="K163" s="11" t="n">
        <f aca="false">IF(I163=0,"",J163/I163)</f>
        <v>1</v>
      </c>
    </row>
    <row r="164" customFormat="false" ht="15" hidden="false" customHeight="false" outlineLevel="0" collapsed="false">
      <c r="A164" s="13" t="s">
        <v>63</v>
      </c>
      <c r="B164" s="13" t="s">
        <v>45</v>
      </c>
      <c r="C164" s="13" t="s">
        <v>99</v>
      </c>
      <c r="D164" s="9" t="n">
        <v>45627</v>
      </c>
      <c r="E164" s="26" t="n">
        <v>40.13</v>
      </c>
      <c r="F164" s="26" t="n">
        <v>59.8</v>
      </c>
      <c r="G164" s="11" t="n">
        <f aca="false">IF(E164=0,"",F164/E164)</f>
        <v>1.4901569897832</v>
      </c>
      <c r="H164" s="27" t="n">
        <v>6220.14</v>
      </c>
      <c r="I164" s="27" t="n">
        <v>9269</v>
      </c>
      <c r="J164" s="27" t="n">
        <v>9269</v>
      </c>
      <c r="K164" s="11" t="n">
        <f aca="false">IF(I164=0,"",J164/I164)</f>
        <v>1</v>
      </c>
    </row>
    <row r="165" customFormat="false" ht="15" hidden="false" customHeight="false" outlineLevel="0" collapsed="false">
      <c r="A165" s="13" t="s">
        <v>63</v>
      </c>
      <c r="B165" s="13" t="s">
        <v>45</v>
      </c>
      <c r="C165" s="13" t="s">
        <v>100</v>
      </c>
      <c r="D165" s="9" t="n">
        <v>45627</v>
      </c>
      <c r="E165" s="26" t="n">
        <v>50.76</v>
      </c>
      <c r="F165" s="26" t="n">
        <v>62.3</v>
      </c>
      <c r="G165" s="11" t="n">
        <f aca="false">IF(E165=0,"",F165/E165)</f>
        <v>1.22734436564224</v>
      </c>
      <c r="H165" s="27" t="n">
        <v>10659.25</v>
      </c>
      <c r="I165" s="27" t="n">
        <v>13083</v>
      </c>
      <c r="J165" s="27" t="n">
        <v>13083</v>
      </c>
      <c r="K165" s="11" t="n">
        <f aca="false">IF(I165=0,"",J165/I165)</f>
        <v>1</v>
      </c>
    </row>
    <row r="166" customFormat="false" ht="15" hidden="false" customHeight="false" outlineLevel="0" collapsed="false">
      <c r="A166" s="13" t="s">
        <v>63</v>
      </c>
      <c r="B166" s="13" t="s">
        <v>45</v>
      </c>
      <c r="C166" s="13" t="s">
        <v>101</v>
      </c>
      <c r="D166" s="9" t="n">
        <v>45627</v>
      </c>
      <c r="E166" s="26" t="n">
        <v>16.46</v>
      </c>
      <c r="F166" s="26" t="n">
        <v>18.5</v>
      </c>
      <c r="G166" s="11" t="n">
        <f aca="false">IF(E166=0,"",F166/E166)</f>
        <v>1.12393681652491</v>
      </c>
      <c r="H166" s="27" t="n">
        <v>4526.89</v>
      </c>
      <c r="I166" s="27" t="n">
        <v>5087.5</v>
      </c>
      <c r="J166" s="27" t="n">
        <v>5087.5</v>
      </c>
      <c r="K166" s="11" t="n">
        <f aca="false">IF(I166=0,"",J166/I166)</f>
        <v>1</v>
      </c>
    </row>
    <row r="167" customFormat="false" ht="15" hidden="false" customHeight="false" outlineLevel="0" collapsed="false">
      <c r="A167" s="13" t="s">
        <v>63</v>
      </c>
      <c r="B167" s="13" t="s">
        <v>45</v>
      </c>
      <c r="C167" s="13" t="s">
        <v>102</v>
      </c>
      <c r="D167" s="9" t="n">
        <v>45627</v>
      </c>
      <c r="E167" s="26" t="n">
        <v>7.8</v>
      </c>
      <c r="F167" s="26" t="n">
        <v>11.6</v>
      </c>
      <c r="G167" s="11" t="n">
        <f aca="false">IF(E167=0,"",F167/E167)</f>
        <v>1.48717948717949</v>
      </c>
      <c r="H167" s="27" t="n">
        <v>3001.47</v>
      </c>
      <c r="I167" s="27" t="n">
        <v>4466</v>
      </c>
      <c r="J167" s="27" t="n">
        <v>4466</v>
      </c>
      <c r="K167" s="11" t="n">
        <f aca="false">IF(I167=0,"",J167/I167)</f>
        <v>1</v>
      </c>
    </row>
    <row r="168" customFormat="false" ht="15" hidden="false" customHeight="false" outlineLevel="0" collapsed="false">
      <c r="A168" s="13" t="s">
        <v>63</v>
      </c>
      <c r="B168" s="13" t="s">
        <v>45</v>
      </c>
      <c r="C168" s="13" t="s">
        <v>99</v>
      </c>
      <c r="D168" s="9" t="n">
        <v>45658</v>
      </c>
      <c r="E168" s="26" t="n">
        <v>52.2</v>
      </c>
      <c r="F168" s="26" t="n">
        <v>85.1</v>
      </c>
      <c r="G168" s="11" t="n">
        <f aca="false">IF(E168=0,"",F168/E168)</f>
        <v>1.63026819923372</v>
      </c>
      <c r="H168" s="27" t="n">
        <v>8090.42</v>
      </c>
      <c r="I168" s="27" t="n">
        <v>13190.5</v>
      </c>
      <c r="J168" s="27" t="n">
        <v>13190.5</v>
      </c>
      <c r="K168" s="11" t="n">
        <f aca="false">IF(I168=0,"",J168/I168)</f>
        <v>1</v>
      </c>
    </row>
    <row r="169" customFormat="false" ht="15" hidden="false" customHeight="false" outlineLevel="0" collapsed="false">
      <c r="A169" s="13" t="s">
        <v>63</v>
      </c>
      <c r="B169" s="13" t="s">
        <v>45</v>
      </c>
      <c r="C169" s="13" t="s">
        <v>100</v>
      </c>
      <c r="D169" s="9" t="n">
        <v>45658</v>
      </c>
      <c r="E169" s="26" t="n">
        <v>66.02</v>
      </c>
      <c r="F169" s="26" t="n">
        <v>101.8</v>
      </c>
      <c r="G169" s="11" t="n">
        <f aca="false">IF(E169=0,"",F169/E169)</f>
        <v>1.54195698273251</v>
      </c>
      <c r="H169" s="27" t="n">
        <v>13864.28</v>
      </c>
      <c r="I169" s="27" t="n">
        <v>21378</v>
      </c>
      <c r="J169" s="27" t="n">
        <v>21378</v>
      </c>
      <c r="K169" s="11" t="n">
        <f aca="false">IF(I169=0,"",J169/I169)</f>
        <v>1</v>
      </c>
    </row>
    <row r="170" customFormat="false" ht="15" hidden="false" customHeight="false" outlineLevel="0" collapsed="false">
      <c r="A170" s="13" t="s">
        <v>63</v>
      </c>
      <c r="B170" s="13" t="s">
        <v>45</v>
      </c>
      <c r="C170" s="13" t="s">
        <v>101</v>
      </c>
      <c r="D170" s="9" t="n">
        <v>45658</v>
      </c>
      <c r="E170" s="26" t="n">
        <v>21.41</v>
      </c>
      <c r="F170" s="26" t="n">
        <v>31.5</v>
      </c>
      <c r="G170" s="11" t="n">
        <f aca="false">IF(E170=0,"",F170/E170)</f>
        <v>1.47127510509108</v>
      </c>
      <c r="H170" s="27" t="n">
        <v>5888.03</v>
      </c>
      <c r="I170" s="27" t="n">
        <v>8662.5</v>
      </c>
      <c r="J170" s="27" t="n">
        <v>8110.5</v>
      </c>
      <c r="K170" s="11" t="n">
        <f aca="false">IF(I170=0,"",J170/I170)</f>
        <v>0.936277056277056</v>
      </c>
    </row>
    <row r="171" customFormat="false" ht="15" hidden="false" customHeight="false" outlineLevel="0" collapsed="false">
      <c r="A171" s="13" t="s">
        <v>63</v>
      </c>
      <c r="B171" s="13" t="s">
        <v>45</v>
      </c>
      <c r="C171" s="13" t="s">
        <v>102</v>
      </c>
      <c r="D171" s="9" t="n">
        <v>45658</v>
      </c>
      <c r="E171" s="26" t="n">
        <v>10.14</v>
      </c>
      <c r="F171" s="26" t="n">
        <v>16.9</v>
      </c>
      <c r="G171" s="11" t="n">
        <f aca="false">IF(E171=0,"",F171/E171)</f>
        <v>1.66666666666667</v>
      </c>
      <c r="H171" s="27" t="n">
        <v>3903.96</v>
      </c>
      <c r="I171" s="27" t="n">
        <v>6506.5</v>
      </c>
      <c r="J171" s="27" t="n">
        <v>6506.5</v>
      </c>
      <c r="K171" s="11" t="n">
        <f aca="false">IF(I171=0,"",J171/I171)</f>
        <v>1</v>
      </c>
    </row>
    <row r="172" customFormat="false" ht="15" hidden="false" customHeight="false" outlineLevel="0" collapsed="false">
      <c r="A172" s="13" t="s">
        <v>63</v>
      </c>
      <c r="B172" s="13" t="s">
        <v>45</v>
      </c>
      <c r="C172" s="13" t="s">
        <v>99</v>
      </c>
      <c r="D172" s="9" t="n">
        <v>45689</v>
      </c>
      <c r="E172" s="26" t="n">
        <v>63.85</v>
      </c>
      <c r="F172" s="26" t="n">
        <v>93.5</v>
      </c>
      <c r="G172" s="11" t="n">
        <f aca="false">IF(E172=0,"",F172/E172)</f>
        <v>1.46436961628818</v>
      </c>
      <c r="H172" s="27" t="n">
        <v>9897</v>
      </c>
      <c r="I172" s="27" t="n">
        <v>14492.5</v>
      </c>
      <c r="J172" s="27" t="n">
        <v>15056.5</v>
      </c>
      <c r="K172" s="11" t="n">
        <f aca="false">IF(I172=0,"",J172/I172)</f>
        <v>1.03891668104192</v>
      </c>
    </row>
    <row r="173" customFormat="false" ht="15" hidden="false" customHeight="false" outlineLevel="0" collapsed="false">
      <c r="A173" s="13" t="s">
        <v>63</v>
      </c>
      <c r="B173" s="13" t="s">
        <v>45</v>
      </c>
      <c r="C173" s="13" t="s">
        <v>100</v>
      </c>
      <c r="D173" s="9" t="n">
        <v>45689</v>
      </c>
      <c r="E173" s="26" t="n">
        <v>80.76</v>
      </c>
      <c r="F173" s="26" t="n">
        <v>132</v>
      </c>
      <c r="G173" s="11" t="n">
        <f aca="false">IF(E173=0,"",F173/E173)</f>
        <v>1.63447251114413</v>
      </c>
      <c r="H173" s="27" t="n">
        <v>16960.17</v>
      </c>
      <c r="I173" s="27" t="n">
        <v>27720</v>
      </c>
      <c r="J173" s="27" t="n">
        <v>27351.5</v>
      </c>
      <c r="K173" s="11" t="n">
        <f aca="false">IF(I173=0,"",J173/I173)</f>
        <v>0.986706349206349</v>
      </c>
    </row>
    <row r="174" customFormat="false" ht="15" hidden="false" customHeight="false" outlineLevel="0" collapsed="false">
      <c r="A174" s="13" t="s">
        <v>63</v>
      </c>
      <c r="B174" s="13" t="s">
        <v>45</v>
      </c>
      <c r="C174" s="13" t="s">
        <v>101</v>
      </c>
      <c r="D174" s="9" t="n">
        <v>45689</v>
      </c>
      <c r="E174" s="26" t="n">
        <v>26.19</v>
      </c>
      <c r="F174" s="26" t="n">
        <v>44.5</v>
      </c>
      <c r="G174" s="11" t="n">
        <f aca="false">IF(E174=0,"",F174/E174)</f>
        <v>1.69912180221459</v>
      </c>
      <c r="H174" s="27" t="n">
        <v>7202.83</v>
      </c>
      <c r="I174" s="27" t="n">
        <v>12237.5</v>
      </c>
      <c r="J174" s="27" t="n">
        <v>12237.5</v>
      </c>
      <c r="K174" s="11" t="n">
        <f aca="false">IF(I174=0,"",J174/I174)</f>
        <v>1</v>
      </c>
    </row>
    <row r="175" customFormat="false" ht="15" hidden="false" customHeight="false" outlineLevel="0" collapsed="false">
      <c r="A175" s="13" t="s">
        <v>63</v>
      </c>
      <c r="B175" s="13" t="s">
        <v>45</v>
      </c>
      <c r="C175" s="13" t="s">
        <v>102</v>
      </c>
      <c r="D175" s="9" t="n">
        <v>45689</v>
      </c>
      <c r="E175" s="26" t="n">
        <v>12.4</v>
      </c>
      <c r="F175" s="26" t="n">
        <v>17.8</v>
      </c>
      <c r="G175" s="11" t="n">
        <f aca="false">IF(E175=0,"",F175/E175)</f>
        <v>1.43548387096774</v>
      </c>
      <c r="H175" s="27" t="n">
        <v>4775.71</v>
      </c>
      <c r="I175" s="27" t="n">
        <v>6853</v>
      </c>
      <c r="J175" s="27" t="n">
        <v>6853</v>
      </c>
      <c r="K175" s="11" t="n">
        <f aca="false">IF(I175=0,"",J175/I175)</f>
        <v>1</v>
      </c>
    </row>
    <row r="176" customFormat="false" ht="15" hidden="false" customHeight="false" outlineLevel="0" collapsed="false">
      <c r="A176" s="13" t="s">
        <v>63</v>
      </c>
      <c r="B176" s="13" t="s">
        <v>45</v>
      </c>
      <c r="C176" s="13" t="s">
        <v>99</v>
      </c>
      <c r="D176" s="9" t="n">
        <v>45717</v>
      </c>
      <c r="E176" s="26" t="n">
        <v>74.7</v>
      </c>
      <c r="F176" s="26" t="n">
        <v>131.6</v>
      </c>
      <c r="G176" s="11" t="n">
        <f aca="false">IF(E176=0,"",F176/E176)</f>
        <v>1.76171352074967</v>
      </c>
      <c r="H176" s="27" t="n">
        <v>11578.38</v>
      </c>
      <c r="I176" s="27" t="n">
        <v>20398</v>
      </c>
      <c r="J176" s="27" t="n">
        <v>20398</v>
      </c>
      <c r="K176" s="11" t="n">
        <f aca="false">IF(I176=0,"",J176/I176)</f>
        <v>1</v>
      </c>
    </row>
    <row r="177" customFormat="false" ht="15" hidden="false" customHeight="false" outlineLevel="0" collapsed="false">
      <c r="A177" s="13" t="s">
        <v>63</v>
      </c>
      <c r="B177" s="13" t="s">
        <v>45</v>
      </c>
      <c r="C177" s="13" t="s">
        <v>100</v>
      </c>
      <c r="D177" s="9" t="n">
        <v>45717</v>
      </c>
      <c r="E177" s="26" t="n">
        <v>94.48</v>
      </c>
      <c r="F177" s="26" t="n">
        <v>164.5</v>
      </c>
      <c r="G177" s="11" t="n">
        <f aca="false">IF(E177=0,"",F177/E177)</f>
        <v>1.74110922946655</v>
      </c>
      <c r="H177" s="27" t="n">
        <v>19841.49</v>
      </c>
      <c r="I177" s="27" t="n">
        <v>34545</v>
      </c>
      <c r="J177" s="27" t="n">
        <v>34336</v>
      </c>
      <c r="K177" s="11" t="n">
        <f aca="false">IF(I177=0,"",J177/I177)</f>
        <v>0.993949920393689</v>
      </c>
    </row>
    <row r="178" customFormat="false" ht="15" hidden="false" customHeight="false" outlineLevel="0" collapsed="false">
      <c r="A178" s="13" t="s">
        <v>63</v>
      </c>
      <c r="B178" s="13" t="s">
        <v>45</v>
      </c>
      <c r="C178" s="13" t="s">
        <v>101</v>
      </c>
      <c r="D178" s="9" t="n">
        <v>45717</v>
      </c>
      <c r="E178" s="26" t="n">
        <v>30.64</v>
      </c>
      <c r="F178" s="26" t="n">
        <v>41.6</v>
      </c>
      <c r="G178" s="11" t="n">
        <f aca="false">IF(E178=0,"",F178/E178)</f>
        <v>1.35770234986945</v>
      </c>
      <c r="H178" s="27" t="n">
        <v>8426.5</v>
      </c>
      <c r="I178" s="27" t="n">
        <v>11440</v>
      </c>
      <c r="J178" s="27" t="n">
        <v>11440</v>
      </c>
      <c r="K178" s="11" t="n">
        <f aca="false">IF(I178=0,"",J178/I178)</f>
        <v>1</v>
      </c>
    </row>
    <row r="179" customFormat="false" ht="15" hidden="false" customHeight="false" outlineLevel="0" collapsed="false">
      <c r="A179" s="13" t="s">
        <v>63</v>
      </c>
      <c r="B179" s="13" t="s">
        <v>45</v>
      </c>
      <c r="C179" s="13" t="s">
        <v>102</v>
      </c>
      <c r="D179" s="9" t="n">
        <v>45717</v>
      </c>
      <c r="E179" s="26" t="n">
        <v>14.51</v>
      </c>
      <c r="F179" s="26" t="n">
        <v>20.6</v>
      </c>
      <c r="G179" s="11" t="n">
        <f aca="false">IF(E179=0,"",F179/E179)</f>
        <v>1.4197105444521</v>
      </c>
      <c r="H179" s="27" t="n">
        <v>5587.04</v>
      </c>
      <c r="I179" s="27" t="n">
        <v>7931</v>
      </c>
      <c r="J179" s="27" t="n">
        <v>7931</v>
      </c>
      <c r="K179" s="11" t="n">
        <f aca="false">IF(I179=0,"",J179/I179)</f>
        <v>1</v>
      </c>
    </row>
    <row r="180" customFormat="false" ht="15" hidden="false" customHeight="false" outlineLevel="0" collapsed="false">
      <c r="A180" s="13" t="s">
        <v>63</v>
      </c>
      <c r="B180" s="13" t="s">
        <v>45</v>
      </c>
      <c r="C180" s="13" t="s">
        <v>99</v>
      </c>
      <c r="D180" s="9" t="n">
        <v>45748</v>
      </c>
      <c r="E180" s="26" t="n">
        <v>84.37</v>
      </c>
      <c r="F180" s="26" t="n">
        <v>123.2</v>
      </c>
      <c r="G180" s="11" t="n">
        <f aca="false">IF(E180=0,"",F180/E180)</f>
        <v>1.46023468057366</v>
      </c>
      <c r="H180" s="27" t="n">
        <v>13077.29</v>
      </c>
      <c r="I180" s="27" t="n">
        <v>19096</v>
      </c>
      <c r="J180" s="27" t="n">
        <v>19096</v>
      </c>
      <c r="K180" s="11" t="n">
        <f aca="false">IF(I180=0,"",J180/I180)</f>
        <v>1</v>
      </c>
    </row>
    <row r="181" customFormat="false" ht="15" hidden="false" customHeight="false" outlineLevel="0" collapsed="false">
      <c r="A181" s="13" t="s">
        <v>63</v>
      </c>
      <c r="B181" s="13" t="s">
        <v>45</v>
      </c>
      <c r="C181" s="13" t="s">
        <v>100</v>
      </c>
      <c r="D181" s="9" t="n">
        <v>45748</v>
      </c>
      <c r="E181" s="26" t="n">
        <v>106.71</v>
      </c>
      <c r="F181" s="26" t="n">
        <v>153.6</v>
      </c>
      <c r="G181" s="11" t="n">
        <f aca="false">IF(E181=0,"",F181/E181)</f>
        <v>1.43941523755974</v>
      </c>
      <c r="H181" s="27" t="n">
        <v>22410.12</v>
      </c>
      <c r="I181" s="27" t="n">
        <v>32256</v>
      </c>
      <c r="J181" s="27" t="n">
        <v>32405.5</v>
      </c>
      <c r="K181" s="11" t="n">
        <f aca="false">IF(I181=0,"",J181/I181)</f>
        <v>1.00463479662698</v>
      </c>
    </row>
    <row r="182" customFormat="false" ht="15" hidden="false" customHeight="false" outlineLevel="0" collapsed="false">
      <c r="A182" s="13" t="s">
        <v>63</v>
      </c>
      <c r="B182" s="13" t="s">
        <v>45</v>
      </c>
      <c r="C182" s="13" t="s">
        <v>101</v>
      </c>
      <c r="D182" s="9" t="n">
        <v>45748</v>
      </c>
      <c r="E182" s="26" t="n">
        <v>34.61</v>
      </c>
      <c r="F182" s="26" t="n">
        <v>63.3</v>
      </c>
      <c r="G182" s="11" t="n">
        <f aca="false">IF(E182=0,"",F182/E182)</f>
        <v>1.82895117018203</v>
      </c>
      <c r="H182" s="27" t="n">
        <v>9517.37</v>
      </c>
      <c r="I182" s="27" t="n">
        <v>17407.5</v>
      </c>
      <c r="J182" s="27" t="n">
        <v>17167.5</v>
      </c>
      <c r="K182" s="11" t="n">
        <f aca="false">IF(I182=0,"",J182/I182)</f>
        <v>0.986212839293408</v>
      </c>
    </row>
    <row r="183" customFormat="false" ht="15" hidden="false" customHeight="false" outlineLevel="0" collapsed="false">
      <c r="A183" s="13" t="s">
        <v>63</v>
      </c>
      <c r="B183" s="13" t="s">
        <v>45</v>
      </c>
      <c r="C183" s="13" t="s">
        <v>102</v>
      </c>
      <c r="D183" s="9" t="n">
        <v>45748</v>
      </c>
      <c r="E183" s="26" t="n">
        <v>16.39</v>
      </c>
      <c r="F183" s="26" t="n">
        <v>25.8</v>
      </c>
      <c r="G183" s="11" t="n">
        <f aca="false">IF(E183=0,"",F183/E183)</f>
        <v>1.57413056741916</v>
      </c>
      <c r="H183" s="27" t="n">
        <v>6310.33</v>
      </c>
      <c r="I183" s="27" t="n">
        <v>9933</v>
      </c>
      <c r="J183" s="27" t="n">
        <v>9933</v>
      </c>
      <c r="K183" s="11" t="n">
        <f aca="false">IF(I183=0,"",J183/I183)</f>
        <v>1</v>
      </c>
    </row>
    <row r="184" customFormat="false" ht="15" hidden="false" customHeight="false" outlineLevel="0" collapsed="false">
      <c r="A184" s="13" t="s">
        <v>63</v>
      </c>
      <c r="B184" s="13" t="s">
        <v>45</v>
      </c>
      <c r="C184" s="13" t="s">
        <v>99</v>
      </c>
      <c r="D184" s="9" t="n">
        <v>45778</v>
      </c>
      <c r="E184" s="26" t="n">
        <v>92.53</v>
      </c>
      <c r="F184" s="26" t="n">
        <v>113.4</v>
      </c>
      <c r="G184" s="11" t="n">
        <f aca="false">IF(E184=0,"",F184/E184)</f>
        <v>1.22554847076624</v>
      </c>
      <c r="H184" s="27" t="n">
        <v>14342.68</v>
      </c>
      <c r="I184" s="27" t="n">
        <v>17577</v>
      </c>
      <c r="J184" s="27" t="n">
        <v>17577</v>
      </c>
      <c r="K184" s="11" t="n">
        <f aca="false">IF(I184=0,"",J184/I184)</f>
        <v>1</v>
      </c>
    </row>
    <row r="185" customFormat="false" ht="15" hidden="false" customHeight="false" outlineLevel="0" collapsed="false">
      <c r="A185" s="13" t="s">
        <v>63</v>
      </c>
      <c r="B185" s="13" t="s">
        <v>45</v>
      </c>
      <c r="C185" s="13" t="s">
        <v>100</v>
      </c>
      <c r="D185" s="9" t="n">
        <v>45778</v>
      </c>
      <c r="E185" s="26" t="n">
        <v>117.04</v>
      </c>
      <c r="F185" s="26" t="n">
        <v>168.3</v>
      </c>
      <c r="G185" s="11" t="n">
        <f aca="false">IF(E185=0,"",F185/E185)</f>
        <v>1.43796992481203</v>
      </c>
      <c r="H185" s="27" t="n">
        <v>24578.59</v>
      </c>
      <c r="I185" s="27" t="n">
        <v>35343</v>
      </c>
      <c r="J185" s="27" t="n">
        <v>35343</v>
      </c>
      <c r="K185" s="11" t="n">
        <f aca="false">IF(I185=0,"",J185/I185)</f>
        <v>1</v>
      </c>
    </row>
    <row r="186" customFormat="false" ht="15" hidden="false" customHeight="false" outlineLevel="0" collapsed="false">
      <c r="A186" s="13" t="s">
        <v>63</v>
      </c>
      <c r="B186" s="13" t="s">
        <v>45</v>
      </c>
      <c r="C186" s="13" t="s">
        <v>101</v>
      </c>
      <c r="D186" s="9" t="n">
        <v>45778</v>
      </c>
      <c r="E186" s="26" t="n">
        <v>37.96</v>
      </c>
      <c r="F186" s="26" t="n">
        <v>48.8</v>
      </c>
      <c r="G186" s="11" t="n">
        <f aca="false">IF(E186=0,"",F186/E186)</f>
        <v>1.28556375131718</v>
      </c>
      <c r="H186" s="27" t="n">
        <v>10438.3</v>
      </c>
      <c r="I186" s="27" t="n">
        <v>13420</v>
      </c>
      <c r="J186" s="27" t="n">
        <v>12556</v>
      </c>
      <c r="K186" s="11" t="n">
        <f aca="false">IF(I186=0,"",J186/I186)</f>
        <v>0.935618479880775</v>
      </c>
    </row>
    <row r="187" customFormat="false" ht="15" hidden="false" customHeight="false" outlineLevel="0" collapsed="false">
      <c r="A187" s="13" t="s">
        <v>63</v>
      </c>
      <c r="B187" s="13" t="s">
        <v>45</v>
      </c>
      <c r="C187" s="13" t="s">
        <v>102</v>
      </c>
      <c r="D187" s="9" t="n">
        <v>45778</v>
      </c>
      <c r="E187" s="26" t="n">
        <v>17.98</v>
      </c>
      <c r="F187" s="26" t="n">
        <v>29.2</v>
      </c>
      <c r="G187" s="11" t="n">
        <f aca="false">IF(E187=0,"",F187/E187)</f>
        <v>1.62402669632925</v>
      </c>
      <c r="H187" s="27" t="n">
        <v>6920.93</v>
      </c>
      <c r="I187" s="27" t="n">
        <v>11242</v>
      </c>
      <c r="J187" s="27" t="n">
        <v>11242</v>
      </c>
      <c r="K187" s="11" t="n">
        <f aca="false">IF(I187=0,"",J187/I187)</f>
        <v>1</v>
      </c>
    </row>
    <row r="188" customFormat="false" ht="15" hidden="false" customHeight="false" outlineLevel="0" collapsed="false">
      <c r="A188" s="13" t="s">
        <v>63</v>
      </c>
      <c r="B188" s="13" t="s">
        <v>45</v>
      </c>
      <c r="C188" s="13" t="s">
        <v>99</v>
      </c>
      <c r="D188" s="9" t="n">
        <v>45809</v>
      </c>
      <c r="E188" s="26" t="n">
        <v>98.91</v>
      </c>
      <c r="F188" s="26" t="n">
        <v>119.2</v>
      </c>
      <c r="G188" s="11" t="n">
        <f aca="false">IF(E188=0,"",F188/E188)</f>
        <v>1.20513598220605</v>
      </c>
      <c r="H188" s="27" t="n">
        <v>15331.48</v>
      </c>
      <c r="I188" s="27" t="n">
        <v>18476</v>
      </c>
      <c r="J188" s="27" t="n">
        <v>18476</v>
      </c>
      <c r="K188" s="11" t="n">
        <f aca="false">IF(I188=0,"",J188/I188)</f>
        <v>1</v>
      </c>
    </row>
    <row r="189" customFormat="false" ht="15" hidden="false" customHeight="false" outlineLevel="0" collapsed="false">
      <c r="A189" s="13" t="s">
        <v>63</v>
      </c>
      <c r="B189" s="13" t="s">
        <v>45</v>
      </c>
      <c r="C189" s="13" t="s">
        <v>100</v>
      </c>
      <c r="D189" s="9" t="n">
        <v>45809</v>
      </c>
      <c r="E189" s="26" t="n">
        <v>125.11</v>
      </c>
      <c r="F189" s="26" t="n">
        <v>141.7</v>
      </c>
      <c r="G189" s="11" t="n">
        <f aca="false">IF(E189=0,"",F189/E189)</f>
        <v>1.132603309088</v>
      </c>
      <c r="H189" s="27" t="n">
        <v>26273.05</v>
      </c>
      <c r="I189" s="27" t="n">
        <v>29757</v>
      </c>
      <c r="J189" s="27" t="n">
        <v>29757</v>
      </c>
      <c r="K189" s="11" t="n">
        <f aca="false">IF(I189=0,"",J189/I189)</f>
        <v>1</v>
      </c>
    </row>
    <row r="190" customFormat="false" ht="15" hidden="false" customHeight="false" outlineLevel="0" collapsed="false">
      <c r="A190" s="13" t="s">
        <v>63</v>
      </c>
      <c r="B190" s="13" t="s">
        <v>45</v>
      </c>
      <c r="C190" s="13" t="s">
        <v>101</v>
      </c>
      <c r="D190" s="9" t="n">
        <v>45809</v>
      </c>
      <c r="E190" s="26" t="n">
        <v>40.57</v>
      </c>
      <c r="F190" s="26" t="n">
        <v>49.5</v>
      </c>
      <c r="G190" s="11" t="n">
        <f aca="false">IF(E190=0,"",F190/E190)</f>
        <v>1.22011338427409</v>
      </c>
      <c r="H190" s="27" t="n">
        <v>11157.92</v>
      </c>
      <c r="I190" s="27" t="n">
        <v>13612.5</v>
      </c>
      <c r="J190" s="27" t="n">
        <v>13612.5</v>
      </c>
      <c r="K190" s="11" t="n">
        <f aca="false">IF(I190=0,"",J190/I190)</f>
        <v>1</v>
      </c>
    </row>
    <row r="191" customFormat="false" ht="15" hidden="false" customHeight="false" outlineLevel="0" collapsed="false">
      <c r="A191" s="13" t="s">
        <v>63</v>
      </c>
      <c r="B191" s="13" t="s">
        <v>45</v>
      </c>
      <c r="C191" s="13" t="s">
        <v>102</v>
      </c>
      <c r="D191" s="9" t="n">
        <v>45809</v>
      </c>
      <c r="E191" s="26" t="n">
        <v>19.22</v>
      </c>
      <c r="F191" s="26" t="n">
        <v>20.8</v>
      </c>
      <c r="G191" s="11" t="n">
        <f aca="false">IF(E191=0,"",F191/E191)</f>
        <v>1.08220603537981</v>
      </c>
      <c r="H191" s="27" t="n">
        <v>7398.06</v>
      </c>
      <c r="I191" s="27" t="n">
        <v>8008</v>
      </c>
      <c r="J191" s="27" t="n">
        <v>8008</v>
      </c>
      <c r="K191" s="11" t="n">
        <f aca="false">IF(I191=0,"",J191/I191)</f>
        <v>1</v>
      </c>
    </row>
    <row r="192" customFormat="false" ht="15" hidden="false" customHeight="false" outlineLevel="0" collapsed="false">
      <c r="A192" s="13" t="s">
        <v>63</v>
      </c>
      <c r="B192" s="13" t="s">
        <v>45</v>
      </c>
      <c r="C192" s="13" t="s">
        <v>99</v>
      </c>
      <c r="D192" s="9" t="n">
        <v>45839</v>
      </c>
      <c r="E192" s="26" t="n">
        <v>103.29</v>
      </c>
      <c r="F192" s="26" t="n">
        <v>84.3</v>
      </c>
      <c r="G192" s="11" t="n">
        <f aca="false">IF(E192=0,"",F192/E192)</f>
        <v>0.816148707522509</v>
      </c>
      <c r="H192" s="27" t="n">
        <v>16009.99</v>
      </c>
      <c r="I192" s="27" t="n">
        <v>13066.5</v>
      </c>
      <c r="J192" s="27" t="n">
        <v>13066.5</v>
      </c>
      <c r="K192" s="11" t="n">
        <f aca="false">IF(I192=0,"",J192/I192)</f>
        <v>1</v>
      </c>
    </row>
    <row r="193" customFormat="false" ht="15" hidden="false" customHeight="false" outlineLevel="0" collapsed="false">
      <c r="A193" s="13" t="s">
        <v>63</v>
      </c>
      <c r="B193" s="13" t="s">
        <v>45</v>
      </c>
      <c r="C193" s="13" t="s">
        <v>100</v>
      </c>
      <c r="D193" s="9" t="n">
        <v>45839</v>
      </c>
      <c r="E193" s="26" t="n">
        <v>130.65</v>
      </c>
      <c r="F193" s="26" t="n">
        <v>104.8</v>
      </c>
      <c r="G193" s="11" t="n">
        <f aca="false">IF(E193=0,"",F193/E193)</f>
        <v>0.80214313050134</v>
      </c>
      <c r="H193" s="27" t="n">
        <v>27435.8</v>
      </c>
      <c r="I193" s="27" t="n">
        <v>22008</v>
      </c>
      <c r="J193" s="27" t="n">
        <v>22008</v>
      </c>
      <c r="K193" s="11" t="n">
        <f aca="false">IF(I193=0,"",J193/I193)</f>
        <v>1</v>
      </c>
    </row>
    <row r="194" customFormat="false" ht="15" hidden="false" customHeight="false" outlineLevel="0" collapsed="false">
      <c r="A194" s="13" t="s">
        <v>63</v>
      </c>
      <c r="B194" s="13" t="s">
        <v>45</v>
      </c>
      <c r="C194" s="13" t="s">
        <v>101</v>
      </c>
      <c r="D194" s="9" t="n">
        <v>45839</v>
      </c>
      <c r="E194" s="26" t="n">
        <v>42.37</v>
      </c>
      <c r="F194" s="26" t="n">
        <v>25.8</v>
      </c>
      <c r="G194" s="11" t="n">
        <f aca="false">IF(E194=0,"",F194/E194)</f>
        <v>0.608921406655653</v>
      </c>
      <c r="H194" s="27" t="n">
        <v>11651.73</v>
      </c>
      <c r="I194" s="27" t="n">
        <v>7095</v>
      </c>
      <c r="J194" s="27" t="n">
        <v>7095</v>
      </c>
      <c r="K194" s="11" t="n">
        <f aca="false">IF(I194=0,"",J194/I194)</f>
        <v>1</v>
      </c>
    </row>
    <row r="195" customFormat="false" ht="15" hidden="false" customHeight="false" outlineLevel="0" collapsed="false">
      <c r="A195" s="13" t="s">
        <v>63</v>
      </c>
      <c r="B195" s="13" t="s">
        <v>45</v>
      </c>
      <c r="C195" s="13" t="s">
        <v>102</v>
      </c>
      <c r="D195" s="9" t="n">
        <v>45839</v>
      </c>
      <c r="E195" s="26" t="n">
        <v>20.07</v>
      </c>
      <c r="F195" s="26" t="n">
        <v>16.7</v>
      </c>
      <c r="G195" s="11" t="n">
        <f aca="false">IF(E195=0,"",F195/E195)</f>
        <v>0.83208769307424</v>
      </c>
      <c r="H195" s="27" t="n">
        <v>7725.48</v>
      </c>
      <c r="I195" s="27" t="n">
        <v>6429.5</v>
      </c>
      <c r="J195" s="27" t="n">
        <v>6429.5</v>
      </c>
      <c r="K195" s="11" t="n">
        <f aca="false">IF(I195=0,"",J195/I195)</f>
        <v>1</v>
      </c>
    </row>
    <row r="196" customFormat="false" ht="15" hidden="false" customHeight="false" outlineLevel="0" collapsed="false">
      <c r="A196" s="13" t="s">
        <v>63</v>
      </c>
      <c r="B196" s="13" t="s">
        <v>45</v>
      </c>
      <c r="C196" s="13" t="s">
        <v>99</v>
      </c>
      <c r="D196" s="9" t="n">
        <v>45870</v>
      </c>
      <c r="E196" s="26" t="n">
        <v>105.52</v>
      </c>
      <c r="F196" s="26" t="n">
        <v>43.9</v>
      </c>
      <c r="G196" s="11" t="n">
        <f aca="false">IF(E196=0,"",F196/E196)</f>
        <v>0.416034874905231</v>
      </c>
      <c r="H196" s="27" t="n">
        <v>16355.13</v>
      </c>
      <c r="I196" s="27" t="n">
        <v>6804.5</v>
      </c>
      <c r="J196" s="27" t="n">
        <v>6804.5</v>
      </c>
      <c r="K196" s="11" t="n">
        <f aca="false">IF(I196=0,"",J196/I196)</f>
        <v>1</v>
      </c>
    </row>
    <row r="197" customFormat="false" ht="15" hidden="false" customHeight="false" outlineLevel="0" collapsed="false">
      <c r="A197" s="13" t="s">
        <v>63</v>
      </c>
      <c r="B197" s="13" t="s">
        <v>45</v>
      </c>
      <c r="C197" s="13" t="s">
        <v>100</v>
      </c>
      <c r="D197" s="9" t="n">
        <v>45870</v>
      </c>
      <c r="E197" s="26" t="n">
        <v>133.46</v>
      </c>
      <c r="F197" s="26" t="n">
        <v>64</v>
      </c>
      <c r="G197" s="11" t="n">
        <f aca="false">IF(E197=0,"",F197/E197)</f>
        <v>0.479544432788851</v>
      </c>
      <c r="H197" s="27" t="n">
        <v>28027.25</v>
      </c>
      <c r="I197" s="27" t="n">
        <v>13440</v>
      </c>
      <c r="J197" s="27" t="n">
        <v>13440</v>
      </c>
      <c r="K197" s="11" t="n">
        <f aca="false">IF(I197=0,"",J197/I197)</f>
        <v>1</v>
      </c>
    </row>
    <row r="198" customFormat="false" ht="15" hidden="false" customHeight="false" outlineLevel="0" collapsed="false">
      <c r="A198" s="13" t="s">
        <v>63</v>
      </c>
      <c r="B198" s="13" t="s">
        <v>45</v>
      </c>
      <c r="C198" s="13" t="s">
        <v>101</v>
      </c>
      <c r="D198" s="9" t="n">
        <v>45870</v>
      </c>
      <c r="E198" s="26" t="n">
        <v>43.28</v>
      </c>
      <c r="F198" s="26" t="n">
        <v>21.2</v>
      </c>
      <c r="G198" s="11" t="n">
        <f aca="false">IF(E198=0,"",F198/E198)</f>
        <v>0.489833641404806</v>
      </c>
      <c r="H198" s="27" t="n">
        <v>11902.92</v>
      </c>
      <c r="I198" s="27" t="n">
        <v>5830</v>
      </c>
      <c r="J198" s="27" t="n">
        <v>5830</v>
      </c>
      <c r="K198" s="11" t="n">
        <f aca="false">IF(I198=0,"",J198/I198)</f>
        <v>1</v>
      </c>
    </row>
    <row r="199" customFormat="false" ht="15" hidden="false" customHeight="false" outlineLevel="0" collapsed="false">
      <c r="A199" s="13" t="s">
        <v>63</v>
      </c>
      <c r="B199" s="13" t="s">
        <v>45</v>
      </c>
      <c r="C199" s="13" t="s">
        <v>102</v>
      </c>
      <c r="D199" s="9" t="n">
        <v>45870</v>
      </c>
      <c r="E199" s="26" t="n">
        <v>20.5</v>
      </c>
      <c r="F199" s="26" t="n">
        <v>11.6</v>
      </c>
      <c r="G199" s="11" t="n">
        <f aca="false">IF(E199=0,"",F199/E199)</f>
        <v>0.565853658536585</v>
      </c>
      <c r="H199" s="27" t="n">
        <v>7892.02</v>
      </c>
      <c r="I199" s="27" t="n">
        <v>4466</v>
      </c>
      <c r="J199" s="27" t="n">
        <v>4466</v>
      </c>
      <c r="K199" s="11" t="n">
        <f aca="false">IF(I199=0,"",J199/I199)</f>
        <v>1</v>
      </c>
    </row>
    <row r="200" customFormat="false" ht="15" hidden="false" customHeight="false" outlineLevel="0" collapsed="false">
      <c r="A200" s="13" t="s">
        <v>65</v>
      </c>
      <c r="B200" s="13" t="s">
        <v>50</v>
      </c>
      <c r="C200" s="13" t="s">
        <v>99</v>
      </c>
      <c r="D200" s="9" t="n">
        <v>45658</v>
      </c>
      <c r="E200" s="26" t="n">
        <v>11.56</v>
      </c>
      <c r="F200" s="26" t="n">
        <v>7.7</v>
      </c>
      <c r="G200" s="11" t="n">
        <f aca="false">IF(E200=0,"",F200/E200)</f>
        <v>0.666089965397924</v>
      </c>
      <c r="H200" s="27" t="n">
        <v>1791.71</v>
      </c>
      <c r="I200" s="27" t="n">
        <v>1193.5</v>
      </c>
      <c r="J200" s="27" t="n">
        <v>1193.5</v>
      </c>
      <c r="K200" s="11" t="n">
        <f aca="false">IF(I200=0,"",J200/I200)</f>
        <v>1</v>
      </c>
    </row>
    <row r="201" customFormat="false" ht="15" hidden="false" customHeight="false" outlineLevel="0" collapsed="false">
      <c r="A201" s="13" t="s">
        <v>65</v>
      </c>
      <c r="B201" s="13" t="s">
        <v>50</v>
      </c>
      <c r="C201" s="13" t="s">
        <v>100</v>
      </c>
      <c r="D201" s="9" t="n">
        <v>45658</v>
      </c>
      <c r="E201" s="26" t="n">
        <v>15.07</v>
      </c>
      <c r="F201" s="26" t="n">
        <v>13.2</v>
      </c>
      <c r="G201" s="11" t="n">
        <f aca="false">IF(E201=0,"",F201/E201)</f>
        <v>0.875912408759124</v>
      </c>
      <c r="H201" s="27" t="n">
        <v>3164.93</v>
      </c>
      <c r="I201" s="27" t="n">
        <v>2772</v>
      </c>
      <c r="J201" s="27" t="n">
        <v>2772</v>
      </c>
      <c r="K201" s="11" t="n">
        <f aca="false">IF(I201=0,"",J201/I201)</f>
        <v>1</v>
      </c>
    </row>
    <row r="202" customFormat="false" ht="15" hidden="false" customHeight="false" outlineLevel="0" collapsed="false">
      <c r="A202" s="13" t="s">
        <v>65</v>
      </c>
      <c r="B202" s="13" t="s">
        <v>50</v>
      </c>
      <c r="C202" s="13" t="s">
        <v>101</v>
      </c>
      <c r="D202" s="9" t="n">
        <v>45658</v>
      </c>
      <c r="E202" s="26" t="n">
        <v>5.41</v>
      </c>
      <c r="F202" s="26" t="n">
        <v>5.8</v>
      </c>
      <c r="G202" s="11" t="n">
        <f aca="false">IF(E202=0,"",F202/E202)</f>
        <v>1.0720887245841</v>
      </c>
      <c r="H202" s="27" t="n">
        <v>1488.82</v>
      </c>
      <c r="I202" s="27" t="n">
        <v>1595</v>
      </c>
      <c r="J202" s="27" t="n">
        <v>1595</v>
      </c>
      <c r="K202" s="11" t="n">
        <f aca="false">IF(I202=0,"",J202/I202)</f>
        <v>1</v>
      </c>
    </row>
    <row r="203" customFormat="false" ht="15" hidden="false" customHeight="false" outlineLevel="0" collapsed="false">
      <c r="A203" s="13" t="s">
        <v>65</v>
      </c>
      <c r="B203" s="13" t="s">
        <v>50</v>
      </c>
      <c r="C203" s="13" t="s">
        <v>102</v>
      </c>
      <c r="D203" s="9" t="n">
        <v>45658</v>
      </c>
      <c r="E203" s="26" t="n">
        <v>2.49</v>
      </c>
      <c r="F203" s="26" t="n">
        <v>2.7</v>
      </c>
      <c r="G203" s="11" t="n">
        <f aca="false">IF(E203=0,"",F203/E203)</f>
        <v>1.08433734939759</v>
      </c>
      <c r="H203" s="27" t="n">
        <v>957.67</v>
      </c>
      <c r="I203" s="27" t="n">
        <v>1039.5</v>
      </c>
      <c r="J203" s="27" t="n">
        <v>1039.5</v>
      </c>
      <c r="K203" s="11" t="n">
        <f aca="false">IF(I203=0,"",J203/I203)</f>
        <v>1</v>
      </c>
    </row>
    <row r="204" customFormat="false" ht="15" hidden="false" customHeight="false" outlineLevel="0" collapsed="false">
      <c r="A204" s="13" t="s">
        <v>65</v>
      </c>
      <c r="B204" s="13" t="s">
        <v>50</v>
      </c>
      <c r="C204" s="13" t="s">
        <v>99</v>
      </c>
      <c r="D204" s="9" t="n">
        <v>45689</v>
      </c>
      <c r="E204" s="26" t="n">
        <v>27.94</v>
      </c>
      <c r="F204" s="26" t="n">
        <v>28.4</v>
      </c>
      <c r="G204" s="11" t="n">
        <f aca="false">IF(E204=0,"",F204/E204)</f>
        <v>1.01646385110952</v>
      </c>
      <c r="H204" s="27" t="n">
        <v>4330.79</v>
      </c>
      <c r="I204" s="27" t="n">
        <v>4402</v>
      </c>
      <c r="J204" s="27" t="n">
        <v>4402</v>
      </c>
      <c r="K204" s="11" t="n">
        <f aca="false">IF(I204=0,"",J204/I204)</f>
        <v>1</v>
      </c>
    </row>
    <row r="205" customFormat="false" ht="15" hidden="false" customHeight="false" outlineLevel="0" collapsed="false">
      <c r="A205" s="13" t="s">
        <v>65</v>
      </c>
      <c r="B205" s="13" t="s">
        <v>50</v>
      </c>
      <c r="C205" s="13" t="s">
        <v>100</v>
      </c>
      <c r="D205" s="9" t="n">
        <v>45689</v>
      </c>
      <c r="E205" s="26" t="n">
        <v>36.43</v>
      </c>
      <c r="F205" s="26" t="n">
        <v>32.7</v>
      </c>
      <c r="G205" s="11" t="n">
        <f aca="false">IF(E205=0,"",F205/E205)</f>
        <v>0.897611858358496</v>
      </c>
      <c r="H205" s="27" t="n">
        <v>7650.07</v>
      </c>
      <c r="I205" s="27" t="n">
        <v>6867</v>
      </c>
      <c r="J205" s="27" t="n">
        <v>6867</v>
      </c>
      <c r="K205" s="11" t="n">
        <f aca="false">IF(I205=0,"",J205/I205)</f>
        <v>1</v>
      </c>
    </row>
    <row r="206" customFormat="false" ht="15" hidden="false" customHeight="false" outlineLevel="0" collapsed="false">
      <c r="A206" s="13" t="s">
        <v>65</v>
      </c>
      <c r="B206" s="13" t="s">
        <v>50</v>
      </c>
      <c r="C206" s="13" t="s">
        <v>101</v>
      </c>
      <c r="D206" s="9" t="n">
        <v>45689</v>
      </c>
      <c r="E206" s="26" t="n">
        <v>13.09</v>
      </c>
      <c r="F206" s="26" t="n">
        <v>7.3</v>
      </c>
      <c r="G206" s="11" t="n">
        <f aca="false">IF(E206=0,"",F206/E206)</f>
        <v>0.557677616501146</v>
      </c>
      <c r="H206" s="27" t="n">
        <v>3598.68</v>
      </c>
      <c r="I206" s="27" t="n">
        <v>2007.5</v>
      </c>
      <c r="J206" s="27" t="n">
        <v>2007.5</v>
      </c>
      <c r="K206" s="11" t="n">
        <f aca="false">IF(I206=0,"",J206/I206)</f>
        <v>1</v>
      </c>
    </row>
    <row r="207" customFormat="false" ht="15" hidden="false" customHeight="false" outlineLevel="0" collapsed="false">
      <c r="A207" s="13" t="s">
        <v>65</v>
      </c>
      <c r="B207" s="13" t="s">
        <v>50</v>
      </c>
      <c r="C207" s="13" t="s">
        <v>102</v>
      </c>
      <c r="D207" s="9" t="n">
        <v>45689</v>
      </c>
      <c r="E207" s="26" t="n">
        <v>6.01</v>
      </c>
      <c r="F207" s="26" t="n">
        <v>3.3</v>
      </c>
      <c r="G207" s="11" t="n">
        <f aca="false">IF(E207=0,"",F207/E207)</f>
        <v>0.549084858569052</v>
      </c>
      <c r="H207" s="27" t="n">
        <v>2314.83</v>
      </c>
      <c r="I207" s="27" t="n">
        <v>1270.5</v>
      </c>
      <c r="J207" s="27" t="n">
        <v>1270.5</v>
      </c>
      <c r="K207" s="11" t="n">
        <f aca="false">IF(I207=0,"",J207/I207)</f>
        <v>1</v>
      </c>
    </row>
    <row r="208" customFormat="false" ht="15" hidden="false" customHeight="false" outlineLevel="0" collapsed="false">
      <c r="A208" s="13" t="s">
        <v>65</v>
      </c>
      <c r="B208" s="13" t="s">
        <v>50</v>
      </c>
      <c r="C208" s="13" t="s">
        <v>99</v>
      </c>
      <c r="D208" s="9" t="n">
        <v>45717</v>
      </c>
      <c r="E208" s="26" t="n">
        <v>27.94</v>
      </c>
      <c r="F208" s="26" t="n">
        <v>27.6</v>
      </c>
      <c r="G208" s="11" t="n">
        <f aca="false">IF(E208=0,"",F208/E208)</f>
        <v>0.987831066571224</v>
      </c>
      <c r="H208" s="27" t="n">
        <v>4330.79</v>
      </c>
      <c r="I208" s="27" t="n">
        <v>4278</v>
      </c>
      <c r="J208" s="27" t="n">
        <v>4278</v>
      </c>
      <c r="K208" s="11" t="n">
        <f aca="false">IF(I208=0,"",J208/I208)</f>
        <v>1</v>
      </c>
    </row>
    <row r="209" customFormat="false" ht="15" hidden="false" customHeight="false" outlineLevel="0" collapsed="false">
      <c r="A209" s="13" t="s">
        <v>65</v>
      </c>
      <c r="B209" s="13" t="s">
        <v>50</v>
      </c>
      <c r="C209" s="13" t="s">
        <v>100</v>
      </c>
      <c r="D209" s="9" t="n">
        <v>45717</v>
      </c>
      <c r="E209" s="26" t="n">
        <v>36.43</v>
      </c>
      <c r="F209" s="26" t="n">
        <v>32.4</v>
      </c>
      <c r="G209" s="11" t="n">
        <f aca="false">IF(E209=0,"",F209/E209)</f>
        <v>0.889376887180895</v>
      </c>
      <c r="H209" s="27" t="n">
        <v>7650.07</v>
      </c>
      <c r="I209" s="27" t="n">
        <v>6804</v>
      </c>
      <c r="J209" s="27" t="n">
        <v>6804</v>
      </c>
      <c r="K209" s="11" t="n">
        <f aca="false">IF(I209=0,"",J209/I209)</f>
        <v>1</v>
      </c>
    </row>
    <row r="210" customFormat="false" ht="15" hidden="false" customHeight="false" outlineLevel="0" collapsed="false">
      <c r="A210" s="13" t="s">
        <v>65</v>
      </c>
      <c r="B210" s="13" t="s">
        <v>50</v>
      </c>
      <c r="C210" s="13" t="s">
        <v>101</v>
      </c>
      <c r="D210" s="9" t="n">
        <v>45717</v>
      </c>
      <c r="E210" s="26" t="n">
        <v>13.09</v>
      </c>
      <c r="F210" s="26" t="n">
        <v>5.2</v>
      </c>
      <c r="G210" s="11" t="n">
        <f aca="false">IF(E210=0,"",F210/E210)</f>
        <v>0.397249809014515</v>
      </c>
      <c r="H210" s="27" t="n">
        <v>3598.68</v>
      </c>
      <c r="I210" s="27" t="n">
        <v>1430</v>
      </c>
      <c r="J210" s="27" t="n">
        <v>1430</v>
      </c>
      <c r="K210" s="11" t="n">
        <f aca="false">IF(I210=0,"",J210/I210)</f>
        <v>1</v>
      </c>
    </row>
    <row r="211" customFormat="false" ht="15" hidden="false" customHeight="false" outlineLevel="0" collapsed="false">
      <c r="A211" s="13" t="s">
        <v>65</v>
      </c>
      <c r="B211" s="13" t="s">
        <v>50</v>
      </c>
      <c r="C211" s="13" t="s">
        <v>102</v>
      </c>
      <c r="D211" s="9" t="n">
        <v>45717</v>
      </c>
      <c r="E211" s="26" t="n">
        <v>6.01</v>
      </c>
      <c r="F211" s="26" t="n">
        <v>3.3</v>
      </c>
      <c r="G211" s="11" t="n">
        <f aca="false">IF(E211=0,"",F211/E211)</f>
        <v>0.549084858569052</v>
      </c>
      <c r="H211" s="27" t="n">
        <v>2314.83</v>
      </c>
      <c r="I211" s="27" t="n">
        <v>1270.5</v>
      </c>
      <c r="J211" s="27" t="n">
        <v>1270.5</v>
      </c>
      <c r="K211" s="11" t="n">
        <f aca="false">IF(I211=0,"",J211/I211)</f>
        <v>1</v>
      </c>
    </row>
    <row r="212" customFormat="false" ht="15" hidden="false" customHeight="false" outlineLevel="0" collapsed="false">
      <c r="A212" s="13" t="s">
        <v>65</v>
      </c>
      <c r="B212" s="13" t="s">
        <v>50</v>
      </c>
      <c r="C212" s="13" t="s">
        <v>99</v>
      </c>
      <c r="D212" s="9" t="n">
        <v>45748</v>
      </c>
      <c r="E212" s="26" t="n">
        <v>11.56</v>
      </c>
      <c r="F212" s="26" t="n">
        <v>12.5</v>
      </c>
      <c r="G212" s="11" t="n">
        <f aca="false">IF(E212=0,"",F212/E212)</f>
        <v>1.08131487889273</v>
      </c>
      <c r="H212" s="27" t="n">
        <v>1791.71</v>
      </c>
      <c r="I212" s="27" t="n">
        <v>1937.5</v>
      </c>
      <c r="J212" s="27" t="n">
        <v>1937.5</v>
      </c>
      <c r="K212" s="11" t="n">
        <f aca="false">IF(I212=0,"",J212/I212)</f>
        <v>1</v>
      </c>
    </row>
    <row r="213" customFormat="false" ht="15" hidden="false" customHeight="false" outlineLevel="0" collapsed="false">
      <c r="A213" s="13" t="s">
        <v>65</v>
      </c>
      <c r="B213" s="13" t="s">
        <v>50</v>
      </c>
      <c r="C213" s="13" t="s">
        <v>100</v>
      </c>
      <c r="D213" s="9" t="n">
        <v>45748</v>
      </c>
      <c r="E213" s="26" t="n">
        <v>15.07</v>
      </c>
      <c r="F213" s="26" t="n">
        <v>16.3</v>
      </c>
      <c r="G213" s="11" t="n">
        <f aca="false">IF(E213=0,"",F213/E213)</f>
        <v>1.08161911081619</v>
      </c>
      <c r="H213" s="27" t="n">
        <v>3164.93</v>
      </c>
      <c r="I213" s="27" t="n">
        <v>3423</v>
      </c>
      <c r="J213" s="27" t="n">
        <v>3423</v>
      </c>
      <c r="K213" s="11" t="n">
        <f aca="false">IF(I213=0,"",J213/I213)</f>
        <v>1</v>
      </c>
    </row>
    <row r="214" customFormat="false" ht="15" hidden="false" customHeight="false" outlineLevel="0" collapsed="false">
      <c r="A214" s="13" t="s">
        <v>65</v>
      </c>
      <c r="B214" s="13" t="s">
        <v>50</v>
      </c>
      <c r="C214" s="13" t="s">
        <v>101</v>
      </c>
      <c r="D214" s="9" t="n">
        <v>45748</v>
      </c>
      <c r="E214" s="26" t="n">
        <v>5.41</v>
      </c>
      <c r="F214" s="26" t="n">
        <v>4.2</v>
      </c>
      <c r="G214" s="11" t="n">
        <f aca="false">IF(E214=0,"",F214/E214)</f>
        <v>0.77634011090573</v>
      </c>
      <c r="H214" s="27" t="n">
        <v>1488.82</v>
      </c>
      <c r="I214" s="27" t="n">
        <v>1155</v>
      </c>
      <c r="J214" s="27" t="n">
        <v>1155</v>
      </c>
      <c r="K214" s="11" t="n">
        <f aca="false">IF(I214=0,"",J214/I214)</f>
        <v>1</v>
      </c>
    </row>
    <row r="215" customFormat="false" ht="15" hidden="false" customHeight="false" outlineLevel="0" collapsed="false">
      <c r="A215" s="13" t="s">
        <v>65</v>
      </c>
      <c r="B215" s="13" t="s">
        <v>50</v>
      </c>
      <c r="C215" s="13" t="s">
        <v>102</v>
      </c>
      <c r="D215" s="9" t="n">
        <v>45748</v>
      </c>
      <c r="E215" s="26" t="n">
        <v>2.49</v>
      </c>
      <c r="F215" s="26" t="n">
        <v>2.7</v>
      </c>
      <c r="G215" s="11" t="n">
        <f aca="false">IF(E215=0,"",F215/E215)</f>
        <v>1.08433734939759</v>
      </c>
      <c r="H215" s="27" t="n">
        <v>957.67</v>
      </c>
      <c r="I215" s="27" t="n">
        <v>1039.5</v>
      </c>
      <c r="J215" s="27" t="n">
        <v>1039.5</v>
      </c>
      <c r="K215" s="11" t="n">
        <f aca="false">IF(I215=0,"",J215/I215)</f>
        <v>1</v>
      </c>
    </row>
    <row r="216" customFormat="false" ht="15" hidden="false" customHeight="false" outlineLevel="0" collapsed="false">
      <c r="A216" s="13" t="s">
        <v>67</v>
      </c>
      <c r="B216" s="13" t="s">
        <v>54</v>
      </c>
      <c r="C216" s="13" t="s">
        <v>99</v>
      </c>
      <c r="D216" s="9" t="n">
        <v>45748</v>
      </c>
      <c r="E216" s="26" t="n">
        <v>13.85</v>
      </c>
      <c r="F216" s="26" t="n">
        <v>33.6</v>
      </c>
      <c r="G216" s="11" t="n">
        <f aca="false">IF(E216=0,"",F216/E216)</f>
        <v>2.42599277978339</v>
      </c>
      <c r="H216" s="27" t="n">
        <v>2147.3</v>
      </c>
      <c r="I216" s="27" t="n">
        <v>5208</v>
      </c>
      <c r="J216" s="27" t="n">
        <v>5208</v>
      </c>
      <c r="K216" s="11" t="n">
        <f aca="false">IF(I216=0,"",J216/I216)</f>
        <v>1</v>
      </c>
    </row>
    <row r="217" customFormat="false" ht="15" hidden="false" customHeight="false" outlineLevel="0" collapsed="false">
      <c r="A217" s="13" t="s">
        <v>67</v>
      </c>
      <c r="B217" s="13" t="s">
        <v>54</v>
      </c>
      <c r="C217" s="13" t="s">
        <v>100</v>
      </c>
      <c r="D217" s="9" t="n">
        <v>45748</v>
      </c>
      <c r="E217" s="26" t="n">
        <v>16.26</v>
      </c>
      <c r="F217" s="26" t="n">
        <v>57.9</v>
      </c>
      <c r="G217" s="11" t="n">
        <f aca="false">IF(E217=0,"",F217/E217)</f>
        <v>3.56088560885609</v>
      </c>
      <c r="H217" s="27" t="n">
        <v>3414.27</v>
      </c>
      <c r="I217" s="27" t="n">
        <v>12159</v>
      </c>
      <c r="J217" s="27" t="n">
        <v>12159</v>
      </c>
      <c r="K217" s="11" t="n">
        <f aca="false">IF(I217=0,"",J217/I217)</f>
        <v>1</v>
      </c>
    </row>
    <row r="218" customFormat="false" ht="15" hidden="false" customHeight="false" outlineLevel="0" collapsed="false">
      <c r="A218" s="13" t="s">
        <v>67</v>
      </c>
      <c r="B218" s="13" t="s">
        <v>54</v>
      </c>
      <c r="C218" s="13" t="s">
        <v>101</v>
      </c>
      <c r="D218" s="9" t="n">
        <v>45748</v>
      </c>
      <c r="E218" s="26" t="n">
        <v>7.69</v>
      </c>
      <c r="F218" s="26" t="n">
        <v>17.6</v>
      </c>
      <c r="G218" s="11" t="n">
        <f aca="false">IF(E218=0,"",F218/E218)</f>
        <v>2.28868660598179</v>
      </c>
      <c r="H218" s="27" t="n">
        <v>2114.44</v>
      </c>
      <c r="I218" s="27" t="n">
        <v>4840</v>
      </c>
      <c r="J218" s="27" t="n">
        <v>4840</v>
      </c>
      <c r="K218" s="11" t="n">
        <f aca="false">IF(I218=0,"",J218/I218)</f>
        <v>1</v>
      </c>
    </row>
    <row r="219" customFormat="false" ht="15" hidden="false" customHeight="false" outlineLevel="0" collapsed="false">
      <c r="A219" s="13" t="s">
        <v>67</v>
      </c>
      <c r="B219" s="13" t="s">
        <v>54</v>
      </c>
      <c r="C219" s="13" t="s">
        <v>102</v>
      </c>
      <c r="D219" s="9" t="n">
        <v>45748</v>
      </c>
      <c r="E219" s="26" t="n">
        <v>2.64</v>
      </c>
      <c r="F219" s="26" t="n">
        <v>9.4</v>
      </c>
      <c r="G219" s="11" t="n">
        <f aca="false">IF(E219=0,"",F219/E219)</f>
        <v>3.56060606060606</v>
      </c>
      <c r="H219" s="27" t="n">
        <v>1017.17</v>
      </c>
      <c r="I219" s="27" t="n">
        <v>3619</v>
      </c>
      <c r="J219" s="27" t="n">
        <v>3619</v>
      </c>
      <c r="K219" s="11" t="n">
        <f aca="false">IF(I219=0,"",J219/I219)</f>
        <v>1</v>
      </c>
    </row>
    <row r="220" customFormat="false" ht="15" hidden="false" customHeight="false" outlineLevel="0" collapsed="false">
      <c r="A220" s="13" t="s">
        <v>67</v>
      </c>
      <c r="B220" s="13" t="s">
        <v>54</v>
      </c>
      <c r="C220" s="13" t="s">
        <v>99</v>
      </c>
      <c r="D220" s="9" t="n">
        <v>45778</v>
      </c>
      <c r="E220" s="26" t="n">
        <v>18.9</v>
      </c>
      <c r="F220" s="26" t="n">
        <v>86.6</v>
      </c>
      <c r="G220" s="11" t="n">
        <f aca="false">IF(E220=0,"",F220/E220)</f>
        <v>4.58201058201058</v>
      </c>
      <c r="H220" s="27" t="n">
        <v>2929.19</v>
      </c>
      <c r="I220" s="27" t="n">
        <v>13423</v>
      </c>
      <c r="J220" s="27" t="n">
        <v>13423</v>
      </c>
      <c r="K220" s="11" t="n">
        <f aca="false">IF(I220=0,"",J220/I220)</f>
        <v>1</v>
      </c>
    </row>
    <row r="221" customFormat="false" ht="15" hidden="false" customHeight="false" outlineLevel="0" collapsed="false">
      <c r="A221" s="13" t="s">
        <v>67</v>
      </c>
      <c r="B221" s="13" t="s">
        <v>54</v>
      </c>
      <c r="C221" s="13" t="s">
        <v>100</v>
      </c>
      <c r="D221" s="9" t="n">
        <v>45778</v>
      </c>
      <c r="E221" s="26" t="n">
        <v>22.18</v>
      </c>
      <c r="F221" s="26" t="n">
        <v>99.5</v>
      </c>
      <c r="G221" s="11" t="n">
        <f aca="false">IF(E221=0,"",F221/E221)</f>
        <v>4.48602344454464</v>
      </c>
      <c r="H221" s="27" t="n">
        <v>4657.49</v>
      </c>
      <c r="I221" s="27" t="n">
        <v>20895</v>
      </c>
      <c r="J221" s="27" t="n">
        <v>20895</v>
      </c>
      <c r="K221" s="11" t="n">
        <f aca="false">IF(I221=0,"",J221/I221)</f>
        <v>1</v>
      </c>
    </row>
    <row r="222" customFormat="false" ht="15" hidden="false" customHeight="false" outlineLevel="0" collapsed="false">
      <c r="A222" s="13" t="s">
        <v>67</v>
      </c>
      <c r="B222" s="13" t="s">
        <v>54</v>
      </c>
      <c r="C222" s="13" t="s">
        <v>101</v>
      </c>
      <c r="D222" s="9" t="n">
        <v>45778</v>
      </c>
      <c r="E222" s="26" t="n">
        <v>10.49</v>
      </c>
      <c r="F222" s="26" t="n">
        <v>40.4</v>
      </c>
      <c r="G222" s="11" t="n">
        <f aca="false">IF(E222=0,"",F222/E222)</f>
        <v>3.8512869399428</v>
      </c>
      <c r="H222" s="27" t="n">
        <v>2884.37</v>
      </c>
      <c r="I222" s="27" t="n">
        <v>11110</v>
      </c>
      <c r="J222" s="27" t="n">
        <v>11110</v>
      </c>
      <c r="K222" s="11" t="n">
        <f aca="false">IF(I222=0,"",J222/I222)</f>
        <v>1</v>
      </c>
    </row>
    <row r="223" customFormat="false" ht="15" hidden="false" customHeight="false" outlineLevel="0" collapsed="false">
      <c r="A223" s="13" t="s">
        <v>67</v>
      </c>
      <c r="B223" s="13" t="s">
        <v>54</v>
      </c>
      <c r="C223" s="13" t="s">
        <v>102</v>
      </c>
      <c r="D223" s="9" t="n">
        <v>45778</v>
      </c>
      <c r="E223" s="26" t="n">
        <v>3.6</v>
      </c>
      <c r="F223" s="26" t="n">
        <v>18.2</v>
      </c>
      <c r="G223" s="11" t="n">
        <f aca="false">IF(E223=0,"",F223/E223)</f>
        <v>5.05555555555556</v>
      </c>
      <c r="H223" s="27" t="n">
        <v>1387.55</v>
      </c>
      <c r="I223" s="27" t="n">
        <v>7007</v>
      </c>
      <c r="J223" s="27" t="n">
        <v>7007</v>
      </c>
      <c r="K223" s="11" t="n">
        <f aca="false">IF(I223=0,"",J223/I223)</f>
        <v>1</v>
      </c>
    </row>
    <row r="224" customFormat="false" ht="15" hidden="false" customHeight="false" outlineLevel="0" collapsed="false">
      <c r="A224" s="13" t="s">
        <v>67</v>
      </c>
      <c r="B224" s="13" t="s">
        <v>54</v>
      </c>
      <c r="C224" s="13" t="s">
        <v>99</v>
      </c>
      <c r="D224" s="9" t="n">
        <v>45809</v>
      </c>
      <c r="E224" s="26" t="n">
        <v>23.69</v>
      </c>
      <c r="F224" s="26" t="n">
        <v>104</v>
      </c>
      <c r="G224" s="11" t="n">
        <f aca="false">IF(E224=0,"",F224/E224)</f>
        <v>4.39003799071338</v>
      </c>
      <c r="H224" s="27" t="n">
        <v>3671.86</v>
      </c>
      <c r="I224" s="27" t="n">
        <v>16120</v>
      </c>
      <c r="J224" s="27" t="n">
        <v>16120</v>
      </c>
      <c r="K224" s="11" t="n">
        <f aca="false">IF(I224=0,"",J224/I224)</f>
        <v>1</v>
      </c>
    </row>
    <row r="225" customFormat="false" ht="15" hidden="false" customHeight="false" outlineLevel="0" collapsed="false">
      <c r="A225" s="13" t="s">
        <v>67</v>
      </c>
      <c r="B225" s="13" t="s">
        <v>54</v>
      </c>
      <c r="C225" s="13" t="s">
        <v>100</v>
      </c>
      <c r="D225" s="9" t="n">
        <v>45809</v>
      </c>
      <c r="E225" s="26" t="n">
        <v>27.8</v>
      </c>
      <c r="F225" s="26" t="n">
        <v>121.6</v>
      </c>
      <c r="G225" s="11" t="n">
        <f aca="false">IF(E225=0,"",F225/E225)</f>
        <v>4.37410071942446</v>
      </c>
      <c r="H225" s="27" t="n">
        <v>5838.38</v>
      </c>
      <c r="I225" s="27" t="n">
        <v>25536</v>
      </c>
      <c r="J225" s="27" t="n">
        <v>26131</v>
      </c>
      <c r="K225" s="11" t="n">
        <f aca="false">IF(I225=0,"",J225/I225)</f>
        <v>1.02330043859649</v>
      </c>
    </row>
    <row r="226" customFormat="false" ht="15" hidden="false" customHeight="false" outlineLevel="0" collapsed="false">
      <c r="A226" s="13" t="s">
        <v>67</v>
      </c>
      <c r="B226" s="13" t="s">
        <v>54</v>
      </c>
      <c r="C226" s="13" t="s">
        <v>101</v>
      </c>
      <c r="D226" s="9" t="n">
        <v>45809</v>
      </c>
      <c r="E226" s="26" t="n">
        <v>13.15</v>
      </c>
      <c r="F226" s="26" t="n">
        <v>59</v>
      </c>
      <c r="G226" s="11" t="n">
        <f aca="false">IF(E226=0,"",F226/E226)</f>
        <v>4.48669201520913</v>
      </c>
      <c r="H226" s="27" t="n">
        <v>3615.68</v>
      </c>
      <c r="I226" s="27" t="n">
        <v>16225</v>
      </c>
      <c r="J226" s="27" t="n">
        <v>16225</v>
      </c>
      <c r="K226" s="11" t="n">
        <f aca="false">IF(I226=0,"",J226/I226)</f>
        <v>1</v>
      </c>
    </row>
    <row r="227" customFormat="false" ht="15" hidden="false" customHeight="false" outlineLevel="0" collapsed="false">
      <c r="A227" s="13" t="s">
        <v>67</v>
      </c>
      <c r="B227" s="13" t="s">
        <v>54</v>
      </c>
      <c r="C227" s="13" t="s">
        <v>102</v>
      </c>
      <c r="D227" s="9" t="n">
        <v>45809</v>
      </c>
      <c r="E227" s="26" t="n">
        <v>4.52</v>
      </c>
      <c r="F227" s="26" t="n">
        <v>22.6</v>
      </c>
      <c r="G227" s="11" t="n">
        <f aca="false">IF(E227=0,"",F227/E227)</f>
        <v>5</v>
      </c>
      <c r="H227" s="27" t="n">
        <v>1739.35</v>
      </c>
      <c r="I227" s="27" t="n">
        <v>8701</v>
      </c>
      <c r="J227" s="27" t="n">
        <v>8701</v>
      </c>
      <c r="K227" s="11" t="n">
        <f aca="false">IF(I227=0,"",J227/I227)</f>
        <v>1</v>
      </c>
    </row>
    <row r="228" customFormat="false" ht="15" hidden="false" customHeight="false" outlineLevel="0" collapsed="false">
      <c r="A228" s="13" t="s">
        <v>67</v>
      </c>
      <c r="B228" s="13" t="s">
        <v>54</v>
      </c>
      <c r="C228" s="13" t="s">
        <v>99</v>
      </c>
      <c r="D228" s="9" t="n">
        <v>45839</v>
      </c>
      <c r="E228" s="26" t="n">
        <v>27.99</v>
      </c>
      <c r="F228" s="26" t="n">
        <v>96.9</v>
      </c>
      <c r="G228" s="11" t="n">
        <f aca="false">IF(E228=0,"",F228/E228)</f>
        <v>3.46195069667739</v>
      </c>
      <c r="H228" s="27" t="n">
        <v>4338.09</v>
      </c>
      <c r="I228" s="27" t="n">
        <v>15019.5</v>
      </c>
      <c r="J228" s="27" t="n">
        <v>15019.5</v>
      </c>
      <c r="K228" s="11" t="n">
        <f aca="false">IF(I228=0,"",J228/I228)</f>
        <v>1</v>
      </c>
    </row>
    <row r="229" customFormat="false" ht="15" hidden="false" customHeight="false" outlineLevel="0" collapsed="false">
      <c r="A229" s="13" t="s">
        <v>67</v>
      </c>
      <c r="B229" s="13" t="s">
        <v>54</v>
      </c>
      <c r="C229" s="13" t="s">
        <v>100</v>
      </c>
      <c r="D229" s="9" t="n">
        <v>45839</v>
      </c>
      <c r="E229" s="26" t="n">
        <v>32.85</v>
      </c>
      <c r="F229" s="26" t="n">
        <v>98</v>
      </c>
      <c r="G229" s="11" t="n">
        <f aca="false">IF(E229=0,"",F229/E229)</f>
        <v>2.98325722983257</v>
      </c>
      <c r="H229" s="27" t="n">
        <v>6897.7</v>
      </c>
      <c r="I229" s="27" t="n">
        <v>20580</v>
      </c>
      <c r="J229" s="27" t="n">
        <v>20580</v>
      </c>
      <c r="K229" s="11" t="n">
        <f aca="false">IF(I229=0,"",J229/I229)</f>
        <v>1</v>
      </c>
    </row>
    <row r="230" customFormat="false" ht="15" hidden="false" customHeight="false" outlineLevel="0" collapsed="false">
      <c r="A230" s="13" t="s">
        <v>67</v>
      </c>
      <c r="B230" s="13" t="s">
        <v>54</v>
      </c>
      <c r="C230" s="13" t="s">
        <v>101</v>
      </c>
      <c r="D230" s="9" t="n">
        <v>45839</v>
      </c>
      <c r="E230" s="26" t="n">
        <v>15.53</v>
      </c>
      <c r="F230" s="26" t="n">
        <v>35.8</v>
      </c>
      <c r="G230" s="11" t="n">
        <f aca="false">IF(E230=0,"",F230/E230)</f>
        <v>2.30521571152608</v>
      </c>
      <c r="H230" s="27" t="n">
        <v>4271.72</v>
      </c>
      <c r="I230" s="27" t="n">
        <v>9845</v>
      </c>
      <c r="J230" s="27" t="n">
        <v>9845</v>
      </c>
      <c r="K230" s="11" t="n">
        <f aca="false">IF(I230=0,"",J230/I230)</f>
        <v>1</v>
      </c>
    </row>
    <row r="231" customFormat="false" ht="15" hidden="false" customHeight="false" outlineLevel="0" collapsed="false">
      <c r="A231" s="13" t="s">
        <v>67</v>
      </c>
      <c r="B231" s="13" t="s">
        <v>54</v>
      </c>
      <c r="C231" s="13" t="s">
        <v>102</v>
      </c>
      <c r="D231" s="9" t="n">
        <v>45839</v>
      </c>
      <c r="E231" s="26" t="n">
        <v>5.34</v>
      </c>
      <c r="F231" s="26" t="n">
        <v>20.3</v>
      </c>
      <c r="G231" s="11" t="n">
        <f aca="false">IF(E231=0,"",F231/E231)</f>
        <v>3.80149812734082</v>
      </c>
      <c r="H231" s="27" t="n">
        <v>2054.94</v>
      </c>
      <c r="I231" s="27" t="n">
        <v>7815.5</v>
      </c>
      <c r="J231" s="27" t="n">
        <v>7815.5</v>
      </c>
      <c r="K231" s="11" t="n">
        <f aca="false">IF(I231=0,"",J231/I231)</f>
        <v>1</v>
      </c>
    </row>
    <row r="232" customFormat="false" ht="15" hidden="false" customHeight="false" outlineLevel="0" collapsed="false">
      <c r="A232" s="13" t="s">
        <v>67</v>
      </c>
      <c r="B232" s="13" t="s">
        <v>54</v>
      </c>
      <c r="C232" s="13" t="s">
        <v>99</v>
      </c>
      <c r="D232" s="9" t="n">
        <v>45870</v>
      </c>
      <c r="E232" s="26" t="n">
        <v>31.58</v>
      </c>
      <c r="F232" s="26" t="n">
        <v>30.6</v>
      </c>
      <c r="G232" s="11" t="n">
        <f aca="false">IF(E232=0,"",F232/E232)</f>
        <v>0.968967701076631</v>
      </c>
      <c r="H232" s="27" t="n">
        <v>4894.47</v>
      </c>
      <c r="I232" s="27" t="n">
        <v>4743</v>
      </c>
      <c r="J232" s="27" t="n">
        <v>4743</v>
      </c>
      <c r="K232" s="11" t="n">
        <f aca="false">IF(I232=0,"",J232/I232)</f>
        <v>1</v>
      </c>
    </row>
    <row r="233" customFormat="false" ht="15" hidden="false" customHeight="false" outlineLevel="0" collapsed="false">
      <c r="A233" s="13" t="s">
        <v>67</v>
      </c>
      <c r="B233" s="13" t="s">
        <v>54</v>
      </c>
      <c r="C233" s="13" t="s">
        <v>100</v>
      </c>
      <c r="D233" s="9" t="n">
        <v>45870</v>
      </c>
      <c r="E233" s="26" t="n">
        <v>37.06</v>
      </c>
      <c r="F233" s="26" t="n">
        <v>51</v>
      </c>
      <c r="G233" s="11" t="n">
        <f aca="false">IF(E233=0,"",F233/E233)</f>
        <v>1.37614678899083</v>
      </c>
      <c r="H233" s="27" t="n">
        <v>7782.36</v>
      </c>
      <c r="I233" s="27" t="n">
        <v>10710</v>
      </c>
      <c r="J233" s="27" t="n">
        <v>10710</v>
      </c>
      <c r="K233" s="11" t="n">
        <f aca="false">IF(I233=0,"",J233/I233)</f>
        <v>1</v>
      </c>
    </row>
    <row r="234" customFormat="false" ht="15" hidden="false" customHeight="false" outlineLevel="0" collapsed="false">
      <c r="A234" s="13" t="s">
        <v>67</v>
      </c>
      <c r="B234" s="13" t="s">
        <v>54</v>
      </c>
      <c r="C234" s="13" t="s">
        <v>101</v>
      </c>
      <c r="D234" s="9" t="n">
        <v>45870</v>
      </c>
      <c r="E234" s="26" t="n">
        <v>17.53</v>
      </c>
      <c r="F234" s="26" t="n">
        <v>21.7</v>
      </c>
      <c r="G234" s="11" t="n">
        <f aca="false">IF(E234=0,"",F234/E234)</f>
        <v>1.23787792355961</v>
      </c>
      <c r="H234" s="27" t="n">
        <v>4819.58</v>
      </c>
      <c r="I234" s="27" t="n">
        <v>5967.5</v>
      </c>
      <c r="J234" s="27" t="n">
        <v>5967.5</v>
      </c>
      <c r="K234" s="11" t="n">
        <f aca="false">IF(I234=0,"",J234/I234)</f>
        <v>1</v>
      </c>
    </row>
    <row r="235" customFormat="false" ht="15" hidden="false" customHeight="false" outlineLevel="0" collapsed="false">
      <c r="A235" s="13" t="s">
        <v>67</v>
      </c>
      <c r="B235" s="13" t="s">
        <v>54</v>
      </c>
      <c r="C235" s="13" t="s">
        <v>102</v>
      </c>
      <c r="D235" s="9" t="n">
        <v>45870</v>
      </c>
      <c r="E235" s="26" t="n">
        <v>6.02</v>
      </c>
      <c r="F235" s="26" t="n">
        <v>7.3</v>
      </c>
      <c r="G235" s="11" t="n">
        <f aca="false">IF(E235=0,"",F235/E235)</f>
        <v>1.21262458471761</v>
      </c>
      <c r="H235" s="27" t="n">
        <v>2318.49</v>
      </c>
      <c r="I235" s="27" t="n">
        <v>2810.5</v>
      </c>
      <c r="J235" s="27" t="n">
        <v>2810.5</v>
      </c>
      <c r="K235" s="11" t="n">
        <f aca="false">IF(I235=0,"",J235/I235)</f>
        <v>1</v>
      </c>
    </row>
    <row r="236" customFormat="false" ht="15" hidden="false" customHeight="false" outlineLevel="0" collapsed="false">
      <c r="A236" s="13" t="s">
        <v>70</v>
      </c>
      <c r="B236" s="13" t="s">
        <v>58</v>
      </c>
      <c r="C236" s="13" t="s">
        <v>99</v>
      </c>
      <c r="D236" s="9" t="n">
        <v>45597</v>
      </c>
      <c r="E236" s="26" t="n">
        <v>55.05</v>
      </c>
      <c r="F236" s="26" t="n">
        <v>52.7</v>
      </c>
      <c r="G236" s="11" t="n">
        <f aca="false">IF(E236=0,"",F236/E236)</f>
        <v>0.957311534968211</v>
      </c>
      <c r="H236" s="27" t="n">
        <v>8531.99</v>
      </c>
      <c r="I236" s="27" t="n">
        <v>8168.5</v>
      </c>
      <c r="J236" s="27" t="n">
        <v>8168.5</v>
      </c>
      <c r="K236" s="11" t="n">
        <f aca="false">IF(I236=0,"",J236/I236)</f>
        <v>1</v>
      </c>
    </row>
    <row r="237" customFormat="false" ht="15" hidden="false" customHeight="false" outlineLevel="0" collapsed="false">
      <c r="A237" s="13" t="s">
        <v>70</v>
      </c>
      <c r="B237" s="13" t="s">
        <v>58</v>
      </c>
      <c r="C237" s="13" t="s">
        <v>100</v>
      </c>
      <c r="D237" s="9" t="n">
        <v>45597</v>
      </c>
      <c r="E237" s="26" t="n">
        <v>72.78</v>
      </c>
      <c r="F237" s="26" t="n">
        <v>59.3</v>
      </c>
      <c r="G237" s="11" t="n">
        <f aca="false">IF(E237=0,"",F237/E237)</f>
        <v>0.814784281395988</v>
      </c>
      <c r="H237" s="27" t="n">
        <v>15283.42</v>
      </c>
      <c r="I237" s="27" t="n">
        <v>12453</v>
      </c>
      <c r="J237" s="27" t="n">
        <v>12771.5</v>
      </c>
      <c r="K237" s="11" t="n">
        <f aca="false">IF(I237=0,"",J237/I237)</f>
        <v>1.02557616638561</v>
      </c>
    </row>
    <row r="238" customFormat="false" ht="15" hidden="false" customHeight="false" outlineLevel="0" collapsed="false">
      <c r="A238" s="13" t="s">
        <v>70</v>
      </c>
      <c r="B238" s="13" t="s">
        <v>58</v>
      </c>
      <c r="C238" s="13" t="s">
        <v>101</v>
      </c>
      <c r="D238" s="9" t="n">
        <v>45597</v>
      </c>
      <c r="E238" s="26" t="n">
        <v>26.76</v>
      </c>
      <c r="F238" s="26" t="n">
        <v>14.2</v>
      </c>
      <c r="G238" s="11" t="n">
        <f aca="false">IF(E238=0,"",F238/E238)</f>
        <v>0.530642750373692</v>
      </c>
      <c r="H238" s="27" t="n">
        <v>7360.22</v>
      </c>
      <c r="I238" s="27" t="n">
        <v>3905</v>
      </c>
      <c r="J238" s="27" t="n">
        <v>3905</v>
      </c>
      <c r="K238" s="11" t="n">
        <f aca="false">IF(I238=0,"",J238/I238)</f>
        <v>1</v>
      </c>
    </row>
    <row r="239" customFormat="false" ht="15" hidden="false" customHeight="false" outlineLevel="0" collapsed="false">
      <c r="A239" s="13" t="s">
        <v>70</v>
      </c>
      <c r="B239" s="13" t="s">
        <v>58</v>
      </c>
      <c r="C239" s="13" t="s">
        <v>102</v>
      </c>
      <c r="D239" s="9" t="n">
        <v>45597</v>
      </c>
      <c r="E239" s="26" t="n">
        <v>9.69</v>
      </c>
      <c r="F239" s="26" t="n">
        <v>9.7</v>
      </c>
      <c r="G239" s="11" t="n">
        <f aca="false">IF(E239=0,"",F239/E239)</f>
        <v>1.00103199174407</v>
      </c>
      <c r="H239" s="27" t="n">
        <v>3730.87</v>
      </c>
      <c r="I239" s="27" t="n">
        <v>3734.5</v>
      </c>
      <c r="J239" s="27" t="n">
        <v>3734.5</v>
      </c>
      <c r="K239" s="11" t="n">
        <f aca="false">IF(I239=0,"",J239/I239)</f>
        <v>1</v>
      </c>
    </row>
    <row r="240" customFormat="false" ht="15" hidden="false" customHeight="false" outlineLevel="0" collapsed="false">
      <c r="A240" s="13" t="s">
        <v>70</v>
      </c>
      <c r="B240" s="13" t="s">
        <v>58</v>
      </c>
      <c r="C240" s="13" t="s">
        <v>99</v>
      </c>
      <c r="D240" s="9" t="n">
        <v>45627</v>
      </c>
      <c r="E240" s="26" t="n">
        <v>94.13</v>
      </c>
      <c r="F240" s="26" t="n">
        <v>86.7</v>
      </c>
      <c r="G240" s="11" t="n">
        <f aca="false">IF(E240=0,"",F240/E240)</f>
        <v>0.921066610007437</v>
      </c>
      <c r="H240" s="27" t="n">
        <v>14589.63</v>
      </c>
      <c r="I240" s="27" t="n">
        <v>13438.5</v>
      </c>
      <c r="J240" s="27" t="n">
        <v>13438.5</v>
      </c>
      <c r="K240" s="11" t="n">
        <f aca="false">IF(I240=0,"",J240/I240)</f>
        <v>1</v>
      </c>
    </row>
    <row r="241" customFormat="false" ht="15" hidden="false" customHeight="false" outlineLevel="0" collapsed="false">
      <c r="A241" s="13" t="s">
        <v>70</v>
      </c>
      <c r="B241" s="13" t="s">
        <v>58</v>
      </c>
      <c r="C241" s="13" t="s">
        <v>100</v>
      </c>
      <c r="D241" s="9" t="n">
        <v>45627</v>
      </c>
      <c r="E241" s="26" t="n">
        <v>124.45</v>
      </c>
      <c r="F241" s="26" t="n">
        <v>111.2</v>
      </c>
      <c r="G241" s="11" t="n">
        <f aca="false">IF(E241=0,"",F241/E241)</f>
        <v>0.893531538770591</v>
      </c>
      <c r="H241" s="27" t="n">
        <v>26134.52</v>
      </c>
      <c r="I241" s="27" t="n">
        <v>23352</v>
      </c>
      <c r="J241" s="27" t="n">
        <v>23352</v>
      </c>
      <c r="K241" s="11" t="n">
        <f aca="false">IF(I241=0,"",J241/I241)</f>
        <v>1</v>
      </c>
    </row>
    <row r="242" customFormat="false" ht="15" hidden="false" customHeight="false" outlineLevel="0" collapsed="false">
      <c r="A242" s="13" t="s">
        <v>70</v>
      </c>
      <c r="B242" s="13" t="s">
        <v>58</v>
      </c>
      <c r="C242" s="13" t="s">
        <v>101</v>
      </c>
      <c r="D242" s="9" t="n">
        <v>45627</v>
      </c>
      <c r="E242" s="26" t="n">
        <v>45.77</v>
      </c>
      <c r="F242" s="26" t="n">
        <v>34.1</v>
      </c>
      <c r="G242" s="11" t="n">
        <f aca="false">IF(E242=0,"",F242/E242)</f>
        <v>0.7450294953026</v>
      </c>
      <c r="H242" s="27" t="n">
        <v>12585.92</v>
      </c>
      <c r="I242" s="27" t="n">
        <v>9377.5</v>
      </c>
      <c r="J242" s="27" t="n">
        <v>9377.5</v>
      </c>
      <c r="K242" s="11" t="n">
        <f aca="false">IF(I242=0,"",J242/I242)</f>
        <v>1</v>
      </c>
    </row>
    <row r="243" customFormat="false" ht="15" hidden="false" customHeight="false" outlineLevel="0" collapsed="false">
      <c r="A243" s="13" t="s">
        <v>70</v>
      </c>
      <c r="B243" s="13" t="s">
        <v>58</v>
      </c>
      <c r="C243" s="13" t="s">
        <v>102</v>
      </c>
      <c r="D243" s="9" t="n">
        <v>45627</v>
      </c>
      <c r="E243" s="26" t="n">
        <v>16.57</v>
      </c>
      <c r="F243" s="26" t="n">
        <v>16.6</v>
      </c>
      <c r="G243" s="11" t="n">
        <f aca="false">IF(E243=0,"",F243/E243)</f>
        <v>1.00181050090525</v>
      </c>
      <c r="H243" s="27" t="n">
        <v>6379.76</v>
      </c>
      <c r="I243" s="27" t="n">
        <v>6391</v>
      </c>
      <c r="J243" s="27" t="n">
        <v>6391</v>
      </c>
      <c r="K243" s="11" t="n">
        <f aca="false">IF(I243=0,"",J243/I243)</f>
        <v>1</v>
      </c>
    </row>
    <row r="244" customFormat="false" ht="15" hidden="false" customHeight="false" outlineLevel="0" collapsed="false">
      <c r="A244" s="13" t="s">
        <v>70</v>
      </c>
      <c r="B244" s="13" t="s">
        <v>58</v>
      </c>
      <c r="C244" s="13" t="s">
        <v>99</v>
      </c>
      <c r="D244" s="9" t="n">
        <v>45658</v>
      </c>
      <c r="E244" s="26" t="n">
        <v>125.47</v>
      </c>
      <c r="F244" s="26" t="n">
        <v>110.8</v>
      </c>
      <c r="G244" s="11" t="n">
        <f aca="false">IF(E244=0,"",F244/E244)</f>
        <v>0.883079620626445</v>
      </c>
      <c r="H244" s="27" t="n">
        <v>19447.49</v>
      </c>
      <c r="I244" s="27" t="n">
        <v>17174</v>
      </c>
      <c r="J244" s="27" t="n">
        <v>17174</v>
      </c>
      <c r="K244" s="11" t="n">
        <f aca="false">IF(I244=0,"",J244/I244)</f>
        <v>1</v>
      </c>
    </row>
    <row r="245" customFormat="false" ht="15" hidden="false" customHeight="false" outlineLevel="0" collapsed="false">
      <c r="A245" s="13" t="s">
        <v>70</v>
      </c>
      <c r="B245" s="13" t="s">
        <v>58</v>
      </c>
      <c r="C245" s="13" t="s">
        <v>100</v>
      </c>
      <c r="D245" s="9" t="n">
        <v>45658</v>
      </c>
      <c r="E245" s="26" t="n">
        <v>165.89</v>
      </c>
      <c r="F245" s="26" t="n">
        <v>140.1</v>
      </c>
      <c r="G245" s="11" t="n">
        <f aca="false">IF(E245=0,"",F245/E245)</f>
        <v>0.844535535595877</v>
      </c>
      <c r="H245" s="27" t="n">
        <v>34836.43</v>
      </c>
      <c r="I245" s="27" t="n">
        <v>29421</v>
      </c>
      <c r="J245" s="27" t="n">
        <v>29421</v>
      </c>
      <c r="K245" s="11" t="n">
        <f aca="false">IF(I245=0,"",J245/I245)</f>
        <v>1</v>
      </c>
    </row>
    <row r="246" customFormat="false" ht="15" hidden="false" customHeight="false" outlineLevel="0" collapsed="false">
      <c r="A246" s="13" t="s">
        <v>70</v>
      </c>
      <c r="B246" s="13" t="s">
        <v>58</v>
      </c>
      <c r="C246" s="13" t="s">
        <v>101</v>
      </c>
      <c r="D246" s="9" t="n">
        <v>45658</v>
      </c>
      <c r="E246" s="26" t="n">
        <v>61.01</v>
      </c>
      <c r="F246" s="26" t="n">
        <v>50.6</v>
      </c>
      <c r="G246" s="11" t="n">
        <f aca="false">IF(E246=0,"",F246/E246)</f>
        <v>0.82937223405999</v>
      </c>
      <c r="H246" s="27" t="n">
        <v>16776.6</v>
      </c>
      <c r="I246" s="27" t="n">
        <v>13915</v>
      </c>
      <c r="J246" s="27" t="n">
        <v>13579</v>
      </c>
      <c r="K246" s="11" t="n">
        <f aca="false">IF(I246=0,"",J246/I246)</f>
        <v>0.975853395616242</v>
      </c>
    </row>
    <row r="247" customFormat="false" ht="15" hidden="false" customHeight="false" outlineLevel="0" collapsed="false">
      <c r="A247" s="13" t="s">
        <v>70</v>
      </c>
      <c r="B247" s="13" t="s">
        <v>58</v>
      </c>
      <c r="C247" s="13" t="s">
        <v>102</v>
      </c>
      <c r="D247" s="9" t="n">
        <v>45658</v>
      </c>
      <c r="E247" s="26" t="n">
        <v>22.09</v>
      </c>
      <c r="F247" s="26" t="n">
        <v>19.1</v>
      </c>
      <c r="G247" s="11" t="n">
        <f aca="false">IF(E247=0,"",F247/E247)</f>
        <v>0.864644635581711</v>
      </c>
      <c r="H247" s="27" t="n">
        <v>8504</v>
      </c>
      <c r="I247" s="27" t="n">
        <v>7353.5</v>
      </c>
      <c r="J247" s="27" t="n">
        <v>7353.5</v>
      </c>
      <c r="K247" s="11" t="n">
        <f aca="false">IF(I247=0,"",J247/I247)</f>
        <v>1</v>
      </c>
    </row>
    <row r="248" customFormat="false" ht="15" hidden="false" customHeight="false" outlineLevel="0" collapsed="false">
      <c r="A248" s="13" t="s">
        <v>70</v>
      </c>
      <c r="B248" s="13" t="s">
        <v>58</v>
      </c>
      <c r="C248" s="13" t="s">
        <v>99</v>
      </c>
      <c r="D248" s="9" t="n">
        <v>45689</v>
      </c>
      <c r="E248" s="26" t="n">
        <v>142.86</v>
      </c>
      <c r="F248" s="26" t="n">
        <v>115.6</v>
      </c>
      <c r="G248" s="11" t="n">
        <f aca="false">IF(E248=0,"",F248/E248)</f>
        <v>0.809183816323673</v>
      </c>
      <c r="H248" s="27" t="n">
        <v>22143.39</v>
      </c>
      <c r="I248" s="27" t="n">
        <v>17918</v>
      </c>
      <c r="J248" s="27" t="n">
        <v>17918</v>
      </c>
      <c r="K248" s="11" t="n">
        <f aca="false">IF(I248=0,"",J248/I248)</f>
        <v>1</v>
      </c>
    </row>
    <row r="249" customFormat="false" ht="15" hidden="false" customHeight="false" outlineLevel="0" collapsed="false">
      <c r="A249" s="13" t="s">
        <v>70</v>
      </c>
      <c r="B249" s="13" t="s">
        <v>58</v>
      </c>
      <c r="C249" s="13" t="s">
        <v>100</v>
      </c>
      <c r="D249" s="9" t="n">
        <v>45689</v>
      </c>
      <c r="E249" s="26" t="n">
        <v>188.88</v>
      </c>
      <c r="F249" s="26" t="n">
        <v>144.9</v>
      </c>
      <c r="G249" s="11" t="n">
        <f aca="false">IF(E249=0,"",F249/E249)</f>
        <v>0.76715374841169</v>
      </c>
      <c r="H249" s="27" t="n">
        <v>39665.62</v>
      </c>
      <c r="I249" s="27" t="n">
        <v>30429</v>
      </c>
      <c r="J249" s="27" t="n">
        <v>30429</v>
      </c>
      <c r="K249" s="11" t="n">
        <f aca="false">IF(I249=0,"",J249/I249)</f>
        <v>1</v>
      </c>
    </row>
    <row r="250" customFormat="false" ht="15" hidden="false" customHeight="false" outlineLevel="0" collapsed="false">
      <c r="A250" s="13" t="s">
        <v>70</v>
      </c>
      <c r="B250" s="13" t="s">
        <v>58</v>
      </c>
      <c r="C250" s="13" t="s">
        <v>101</v>
      </c>
      <c r="D250" s="9" t="n">
        <v>45689</v>
      </c>
      <c r="E250" s="26" t="n">
        <v>69.46</v>
      </c>
      <c r="F250" s="26" t="n">
        <v>58</v>
      </c>
      <c r="G250" s="11" t="n">
        <f aca="false">IF(E250=0,"",F250/E250)</f>
        <v>0.83501295709761</v>
      </c>
      <c r="H250" s="27" t="n">
        <v>19102.26</v>
      </c>
      <c r="I250" s="27" t="n">
        <v>15950</v>
      </c>
      <c r="J250" s="27" t="n">
        <v>15950</v>
      </c>
      <c r="K250" s="11" t="n">
        <f aca="false">IF(I250=0,"",J250/I250)</f>
        <v>1</v>
      </c>
    </row>
    <row r="251" customFormat="false" ht="15" hidden="false" customHeight="false" outlineLevel="0" collapsed="false">
      <c r="A251" s="13" t="s">
        <v>70</v>
      </c>
      <c r="B251" s="13" t="s">
        <v>58</v>
      </c>
      <c r="C251" s="13" t="s">
        <v>102</v>
      </c>
      <c r="D251" s="9" t="n">
        <v>45689</v>
      </c>
      <c r="E251" s="26" t="n">
        <v>25.15</v>
      </c>
      <c r="F251" s="26" t="n">
        <v>20.8</v>
      </c>
      <c r="G251" s="11" t="n">
        <f aca="false">IF(E251=0,"",F251/E251)</f>
        <v>0.827037773359841</v>
      </c>
      <c r="H251" s="27" t="n">
        <v>9682.87</v>
      </c>
      <c r="I251" s="27" t="n">
        <v>8008</v>
      </c>
      <c r="J251" s="27" t="n">
        <v>8008</v>
      </c>
      <c r="K251" s="11" t="n">
        <f aca="false">IF(I251=0,"",J251/I251)</f>
        <v>1</v>
      </c>
    </row>
    <row r="252" customFormat="false" ht="15" hidden="false" customHeight="false" outlineLevel="0" collapsed="false">
      <c r="A252" s="13" t="s">
        <v>70</v>
      </c>
      <c r="B252" s="13" t="s">
        <v>58</v>
      </c>
      <c r="C252" s="13" t="s">
        <v>99</v>
      </c>
      <c r="D252" s="9" t="n">
        <v>45717</v>
      </c>
      <c r="E252" s="26" t="n">
        <v>142.86</v>
      </c>
      <c r="F252" s="26" t="n">
        <v>123</v>
      </c>
      <c r="G252" s="11" t="n">
        <f aca="false">IF(E252=0,"",F252/E252)</f>
        <v>0.860982780344393</v>
      </c>
      <c r="H252" s="27" t="n">
        <v>22143.39</v>
      </c>
      <c r="I252" s="27" t="n">
        <v>19065</v>
      </c>
      <c r="J252" s="27" t="n">
        <v>19263</v>
      </c>
      <c r="K252" s="11" t="n">
        <f aca="false">IF(I252=0,"",J252/I252)</f>
        <v>1.01038552321007</v>
      </c>
    </row>
    <row r="253" customFormat="false" ht="15" hidden="false" customHeight="false" outlineLevel="0" collapsed="false">
      <c r="A253" s="13" t="s">
        <v>70</v>
      </c>
      <c r="B253" s="13" t="s">
        <v>58</v>
      </c>
      <c r="C253" s="13" t="s">
        <v>100</v>
      </c>
      <c r="D253" s="9" t="n">
        <v>45717</v>
      </c>
      <c r="E253" s="26" t="n">
        <v>188.88</v>
      </c>
      <c r="F253" s="26" t="n">
        <v>150.8</v>
      </c>
      <c r="G253" s="11" t="n">
        <f aca="false">IF(E253=0,"",F253/E253)</f>
        <v>0.798390512494706</v>
      </c>
      <c r="H253" s="27" t="n">
        <v>39665.62</v>
      </c>
      <c r="I253" s="27" t="n">
        <v>31668</v>
      </c>
      <c r="J253" s="27" t="n">
        <v>32006</v>
      </c>
      <c r="K253" s="11" t="n">
        <f aca="false">IF(I253=0,"",J253/I253)</f>
        <v>1.01067323481117</v>
      </c>
    </row>
    <row r="254" customFormat="false" ht="15" hidden="false" customHeight="false" outlineLevel="0" collapsed="false">
      <c r="A254" s="13" t="s">
        <v>70</v>
      </c>
      <c r="B254" s="13" t="s">
        <v>58</v>
      </c>
      <c r="C254" s="13" t="s">
        <v>101</v>
      </c>
      <c r="D254" s="9" t="n">
        <v>45717</v>
      </c>
      <c r="E254" s="26" t="n">
        <v>69.46</v>
      </c>
      <c r="F254" s="26" t="n">
        <v>56.5</v>
      </c>
      <c r="G254" s="11" t="n">
        <f aca="false">IF(E254=0,"",F254/E254)</f>
        <v>0.813417794414051</v>
      </c>
      <c r="H254" s="27" t="n">
        <v>19102.26</v>
      </c>
      <c r="I254" s="27" t="n">
        <v>15537.5</v>
      </c>
      <c r="J254" s="27" t="n">
        <v>15537.5</v>
      </c>
      <c r="K254" s="11" t="n">
        <f aca="false">IF(I254=0,"",J254/I254)</f>
        <v>1</v>
      </c>
    </row>
    <row r="255" customFormat="false" ht="15" hidden="false" customHeight="false" outlineLevel="0" collapsed="false">
      <c r="A255" s="13" t="s">
        <v>70</v>
      </c>
      <c r="B255" s="13" t="s">
        <v>58</v>
      </c>
      <c r="C255" s="13" t="s">
        <v>102</v>
      </c>
      <c r="D255" s="9" t="n">
        <v>45717</v>
      </c>
      <c r="E255" s="26" t="n">
        <v>25.15</v>
      </c>
      <c r="F255" s="26" t="n">
        <v>24.4</v>
      </c>
      <c r="G255" s="11" t="n">
        <f aca="false">IF(E255=0,"",F255/E255)</f>
        <v>0.970178926441352</v>
      </c>
      <c r="H255" s="27" t="n">
        <v>9682.87</v>
      </c>
      <c r="I255" s="27" t="n">
        <v>9394</v>
      </c>
      <c r="J255" s="27" t="n">
        <v>9394</v>
      </c>
      <c r="K255" s="11" t="n">
        <f aca="false">IF(I255=0,"",J255/I255)</f>
        <v>1</v>
      </c>
    </row>
    <row r="256" customFormat="false" ht="15" hidden="false" customHeight="false" outlineLevel="0" collapsed="false">
      <c r="A256" s="13" t="s">
        <v>70</v>
      </c>
      <c r="B256" s="13" t="s">
        <v>58</v>
      </c>
      <c r="C256" s="13" t="s">
        <v>99</v>
      </c>
      <c r="D256" s="9" t="n">
        <v>45748</v>
      </c>
      <c r="E256" s="26" t="n">
        <v>125.47</v>
      </c>
      <c r="F256" s="26" t="n">
        <v>100.1</v>
      </c>
      <c r="G256" s="11" t="n">
        <f aca="false">IF(E256=0,"",F256/E256)</f>
        <v>0.797800270981111</v>
      </c>
      <c r="H256" s="27" t="n">
        <v>19447.49</v>
      </c>
      <c r="I256" s="27" t="n">
        <v>15515.5</v>
      </c>
      <c r="J256" s="27" t="n">
        <v>15515.5</v>
      </c>
      <c r="K256" s="11" t="n">
        <f aca="false">IF(I256=0,"",J256/I256)</f>
        <v>1</v>
      </c>
    </row>
    <row r="257" customFormat="false" ht="15" hidden="false" customHeight="false" outlineLevel="0" collapsed="false">
      <c r="A257" s="13" t="s">
        <v>70</v>
      </c>
      <c r="B257" s="13" t="s">
        <v>58</v>
      </c>
      <c r="C257" s="13" t="s">
        <v>100</v>
      </c>
      <c r="D257" s="9" t="n">
        <v>45748</v>
      </c>
      <c r="E257" s="26" t="n">
        <v>165.89</v>
      </c>
      <c r="F257" s="26" t="n">
        <v>142</v>
      </c>
      <c r="G257" s="11" t="n">
        <f aca="false">IF(E257=0,"",F257/E257)</f>
        <v>0.855988908312737</v>
      </c>
      <c r="H257" s="27" t="n">
        <v>34836.43</v>
      </c>
      <c r="I257" s="27" t="n">
        <v>29820</v>
      </c>
      <c r="J257" s="27" t="n">
        <v>29605.5</v>
      </c>
      <c r="K257" s="11" t="n">
        <f aca="false">IF(I257=0,"",J257/I257)</f>
        <v>0.992806841046278</v>
      </c>
    </row>
    <row r="258" customFormat="false" ht="15" hidden="false" customHeight="false" outlineLevel="0" collapsed="false">
      <c r="A258" s="13" t="s">
        <v>70</v>
      </c>
      <c r="B258" s="13" t="s">
        <v>58</v>
      </c>
      <c r="C258" s="13" t="s">
        <v>101</v>
      </c>
      <c r="D258" s="9" t="n">
        <v>45748</v>
      </c>
      <c r="E258" s="26" t="n">
        <v>61.01</v>
      </c>
      <c r="F258" s="26" t="n">
        <v>46.9</v>
      </c>
      <c r="G258" s="11" t="n">
        <f aca="false">IF(E258=0,"",F258/E258)</f>
        <v>0.768726438288805</v>
      </c>
      <c r="H258" s="27" t="n">
        <v>16776.6</v>
      </c>
      <c r="I258" s="27" t="n">
        <v>12897.5</v>
      </c>
      <c r="J258" s="27" t="n">
        <v>13414.5</v>
      </c>
      <c r="K258" s="11" t="n">
        <f aca="false">IF(I258=0,"",J258/I258)</f>
        <v>1.04008528784648</v>
      </c>
    </row>
    <row r="259" customFormat="false" ht="15" hidden="false" customHeight="false" outlineLevel="0" collapsed="false">
      <c r="A259" s="13" t="s">
        <v>70</v>
      </c>
      <c r="B259" s="13" t="s">
        <v>58</v>
      </c>
      <c r="C259" s="13" t="s">
        <v>102</v>
      </c>
      <c r="D259" s="9" t="n">
        <v>45748</v>
      </c>
      <c r="E259" s="26" t="n">
        <v>22.09</v>
      </c>
      <c r="F259" s="26" t="n">
        <v>14.5</v>
      </c>
      <c r="G259" s="11" t="n">
        <f aca="false">IF(E259=0,"",F259/E259)</f>
        <v>0.656405613399728</v>
      </c>
      <c r="H259" s="27" t="n">
        <v>8504</v>
      </c>
      <c r="I259" s="27" t="n">
        <v>5582.5</v>
      </c>
      <c r="J259" s="27" t="n">
        <v>5582.5</v>
      </c>
      <c r="K259" s="11" t="n">
        <f aca="false">IF(I259=0,"",J259/I259)</f>
        <v>1</v>
      </c>
    </row>
    <row r="260" customFormat="false" ht="15" hidden="false" customHeight="false" outlineLevel="0" collapsed="false">
      <c r="A260" s="13" t="s">
        <v>70</v>
      </c>
      <c r="B260" s="13" t="s">
        <v>58</v>
      </c>
      <c r="C260" s="13" t="s">
        <v>99</v>
      </c>
      <c r="D260" s="9" t="n">
        <v>45778</v>
      </c>
      <c r="E260" s="26" t="n">
        <v>94.13</v>
      </c>
      <c r="F260" s="26" t="n">
        <v>83.7</v>
      </c>
      <c r="G260" s="11" t="n">
        <f aca="false">IF(E260=0,"",F260/E260)</f>
        <v>0.889195793052162</v>
      </c>
      <c r="H260" s="27" t="n">
        <v>14589.63</v>
      </c>
      <c r="I260" s="27" t="n">
        <v>12973.5</v>
      </c>
      <c r="J260" s="27" t="n">
        <v>12973.5</v>
      </c>
      <c r="K260" s="11" t="n">
        <f aca="false">IF(I260=0,"",J260/I260)</f>
        <v>1</v>
      </c>
    </row>
    <row r="261" customFormat="false" ht="15" hidden="false" customHeight="false" outlineLevel="0" collapsed="false">
      <c r="A261" s="13" t="s">
        <v>70</v>
      </c>
      <c r="B261" s="13" t="s">
        <v>58</v>
      </c>
      <c r="C261" s="13" t="s">
        <v>100</v>
      </c>
      <c r="D261" s="9" t="n">
        <v>45778</v>
      </c>
      <c r="E261" s="26" t="n">
        <v>124.45</v>
      </c>
      <c r="F261" s="26" t="n">
        <v>107.9</v>
      </c>
      <c r="G261" s="11" t="n">
        <f aca="false">IF(E261=0,"",F261/E261)</f>
        <v>0.867014865407794</v>
      </c>
      <c r="H261" s="27" t="n">
        <v>26134.52</v>
      </c>
      <c r="I261" s="27" t="n">
        <v>22659</v>
      </c>
      <c r="J261" s="27" t="n">
        <v>22230</v>
      </c>
      <c r="K261" s="11" t="n">
        <f aca="false">IF(I261=0,"",J261/I261)</f>
        <v>0.981067125645439</v>
      </c>
    </row>
    <row r="262" customFormat="false" ht="15" hidden="false" customHeight="false" outlineLevel="0" collapsed="false">
      <c r="A262" s="13" t="s">
        <v>70</v>
      </c>
      <c r="B262" s="13" t="s">
        <v>58</v>
      </c>
      <c r="C262" s="13" t="s">
        <v>101</v>
      </c>
      <c r="D262" s="9" t="n">
        <v>45778</v>
      </c>
      <c r="E262" s="26" t="n">
        <v>45.77</v>
      </c>
      <c r="F262" s="26" t="n">
        <v>40.6</v>
      </c>
      <c r="G262" s="11" t="n">
        <f aca="false">IF(E262=0,"",F262/E262)</f>
        <v>0.887043915228316</v>
      </c>
      <c r="H262" s="27" t="n">
        <v>12585.92</v>
      </c>
      <c r="I262" s="27" t="n">
        <v>11165</v>
      </c>
      <c r="J262" s="27" t="n">
        <v>11165</v>
      </c>
      <c r="K262" s="11" t="n">
        <f aca="false">IF(I262=0,"",J262/I262)</f>
        <v>1</v>
      </c>
    </row>
    <row r="263" customFormat="false" ht="15" hidden="false" customHeight="false" outlineLevel="0" collapsed="false">
      <c r="A263" s="13" t="s">
        <v>70</v>
      </c>
      <c r="B263" s="13" t="s">
        <v>58</v>
      </c>
      <c r="C263" s="13" t="s">
        <v>102</v>
      </c>
      <c r="D263" s="9" t="n">
        <v>45778</v>
      </c>
      <c r="E263" s="26" t="n">
        <v>16.57</v>
      </c>
      <c r="F263" s="26" t="n">
        <v>16.6</v>
      </c>
      <c r="G263" s="11" t="n">
        <f aca="false">IF(E263=0,"",F263/E263)</f>
        <v>1.00181050090525</v>
      </c>
      <c r="H263" s="27" t="n">
        <v>6379.76</v>
      </c>
      <c r="I263" s="27" t="n">
        <v>6391</v>
      </c>
      <c r="J263" s="27" t="n">
        <v>6391</v>
      </c>
      <c r="K263" s="11" t="n">
        <f aca="false">IF(I263=0,"",J263/I263)</f>
        <v>1</v>
      </c>
    </row>
    <row r="264" customFormat="false" ht="15" hidden="false" customHeight="false" outlineLevel="0" collapsed="false">
      <c r="A264" s="13" t="s">
        <v>70</v>
      </c>
      <c r="B264" s="13" t="s">
        <v>58</v>
      </c>
      <c r="C264" s="13" t="s">
        <v>99</v>
      </c>
      <c r="D264" s="9" t="n">
        <v>45809</v>
      </c>
      <c r="E264" s="26" t="n">
        <v>55.05</v>
      </c>
      <c r="F264" s="26" t="n">
        <v>39.5</v>
      </c>
      <c r="G264" s="11" t="n">
        <f aca="false">IF(E264=0,"",F264/E264)</f>
        <v>0.717529518619437</v>
      </c>
      <c r="H264" s="27" t="n">
        <v>8531.99</v>
      </c>
      <c r="I264" s="27" t="n">
        <v>6122.5</v>
      </c>
      <c r="J264" s="27" t="n">
        <v>6122.5</v>
      </c>
      <c r="K264" s="11" t="n">
        <f aca="false">IF(I264=0,"",J264/I264)</f>
        <v>1</v>
      </c>
    </row>
    <row r="265" customFormat="false" ht="15" hidden="false" customHeight="false" outlineLevel="0" collapsed="false">
      <c r="A265" s="13" t="s">
        <v>70</v>
      </c>
      <c r="B265" s="13" t="s">
        <v>58</v>
      </c>
      <c r="C265" s="13" t="s">
        <v>100</v>
      </c>
      <c r="D265" s="9" t="n">
        <v>45809</v>
      </c>
      <c r="E265" s="26" t="n">
        <v>72.78</v>
      </c>
      <c r="F265" s="26" t="n">
        <v>44.5</v>
      </c>
      <c r="G265" s="11" t="n">
        <f aca="false">IF(E265=0,"",F265/E265)</f>
        <v>0.611431712008794</v>
      </c>
      <c r="H265" s="27" t="n">
        <v>15283.42</v>
      </c>
      <c r="I265" s="27" t="n">
        <v>9345</v>
      </c>
      <c r="J265" s="27" t="n">
        <v>9345</v>
      </c>
      <c r="K265" s="11" t="n">
        <f aca="false">IF(I265=0,"",J265/I265)</f>
        <v>1</v>
      </c>
    </row>
    <row r="266" customFormat="false" ht="15" hidden="false" customHeight="false" outlineLevel="0" collapsed="false">
      <c r="A266" s="13" t="s">
        <v>70</v>
      </c>
      <c r="B266" s="13" t="s">
        <v>58</v>
      </c>
      <c r="C266" s="13" t="s">
        <v>101</v>
      </c>
      <c r="D266" s="9" t="n">
        <v>45809</v>
      </c>
      <c r="E266" s="26" t="n">
        <v>26.76</v>
      </c>
      <c r="F266" s="26" t="n">
        <v>26.8</v>
      </c>
      <c r="G266" s="11" t="n">
        <f aca="false">IF(E266=0,"",F266/E266)</f>
        <v>1.00149476831091</v>
      </c>
      <c r="H266" s="27" t="n">
        <v>7360.22</v>
      </c>
      <c r="I266" s="27" t="n">
        <v>7370</v>
      </c>
      <c r="J266" s="27" t="n">
        <v>7370</v>
      </c>
      <c r="K266" s="11" t="n">
        <f aca="false">IF(I266=0,"",J266/I266)</f>
        <v>1</v>
      </c>
    </row>
    <row r="267" customFormat="false" ht="15" hidden="false" customHeight="false" outlineLevel="0" collapsed="false">
      <c r="A267" s="13" t="s">
        <v>70</v>
      </c>
      <c r="B267" s="13" t="s">
        <v>58</v>
      </c>
      <c r="C267" s="13" t="s">
        <v>102</v>
      </c>
      <c r="D267" s="9" t="n">
        <v>45809</v>
      </c>
      <c r="E267" s="26" t="n">
        <v>9.69</v>
      </c>
      <c r="F267" s="26" t="n">
        <v>9.6</v>
      </c>
      <c r="G267" s="11" t="n">
        <f aca="false">IF(E267=0,"",F267/E267)</f>
        <v>0.990712074303406</v>
      </c>
      <c r="H267" s="27" t="n">
        <v>3730.87</v>
      </c>
      <c r="I267" s="27" t="n">
        <v>3696</v>
      </c>
      <c r="J267" s="27" t="n">
        <v>3696</v>
      </c>
      <c r="K267" s="11" t="n">
        <f aca="false">IF(I267=0,"",J267/I267)</f>
        <v>1</v>
      </c>
    </row>
    <row r="268" customFormat="false" ht="15" hidden="false" customHeight="false" outlineLevel="0" collapsed="false">
      <c r="A268" s="13" t="s">
        <v>73</v>
      </c>
      <c r="B268" s="13" t="s">
        <v>61</v>
      </c>
      <c r="C268" s="13" t="s">
        <v>99</v>
      </c>
      <c r="D268" s="9" t="n">
        <v>45778</v>
      </c>
      <c r="E268" s="26" t="n">
        <v>39.22</v>
      </c>
      <c r="F268" s="26" t="n">
        <v>119.8</v>
      </c>
      <c r="G268" s="11" t="n">
        <f aca="false">IF(E268=0,"",F268/E268)</f>
        <v>3.05456399796022</v>
      </c>
      <c r="H268" s="27" t="n">
        <v>6079.04</v>
      </c>
      <c r="I268" s="27" t="n">
        <v>18569</v>
      </c>
      <c r="J268" s="27" t="n">
        <v>18904.5</v>
      </c>
      <c r="K268" s="11" t="n">
        <f aca="false">IF(I268=0,"",J268/I268)</f>
        <v>1.0180677473208</v>
      </c>
    </row>
    <row r="269" customFormat="false" ht="15" hidden="false" customHeight="false" outlineLevel="0" collapsed="false">
      <c r="A269" s="13" t="s">
        <v>73</v>
      </c>
      <c r="B269" s="13" t="s">
        <v>61</v>
      </c>
      <c r="C269" s="13" t="s">
        <v>100</v>
      </c>
      <c r="D269" s="9" t="n">
        <v>45778</v>
      </c>
      <c r="E269" s="26" t="n">
        <v>52.52</v>
      </c>
      <c r="F269" s="26" t="n">
        <v>156.3</v>
      </c>
      <c r="G269" s="11" t="n">
        <f aca="false">IF(E269=0,"",F269/E269)</f>
        <v>2.97600913937548</v>
      </c>
      <c r="H269" s="27" t="n">
        <v>11029.39</v>
      </c>
      <c r="I269" s="27" t="n">
        <v>32823</v>
      </c>
      <c r="J269" s="27" t="n">
        <v>32823</v>
      </c>
      <c r="K269" s="11" t="n">
        <f aca="false">IF(I269=0,"",J269/I269)</f>
        <v>1</v>
      </c>
    </row>
    <row r="270" customFormat="false" ht="15" hidden="false" customHeight="false" outlineLevel="0" collapsed="false">
      <c r="A270" s="13" t="s">
        <v>73</v>
      </c>
      <c r="B270" s="13" t="s">
        <v>61</v>
      </c>
      <c r="C270" s="13" t="s">
        <v>101</v>
      </c>
      <c r="D270" s="9" t="n">
        <v>45778</v>
      </c>
      <c r="E270" s="26" t="n">
        <v>18.82</v>
      </c>
      <c r="F270" s="26" t="n">
        <v>60.8</v>
      </c>
      <c r="G270" s="11" t="n">
        <f aca="false">IF(E270=0,"",F270/E270)</f>
        <v>3.23060573857598</v>
      </c>
      <c r="H270" s="27" t="n">
        <v>5175.11</v>
      </c>
      <c r="I270" s="27" t="n">
        <v>16720</v>
      </c>
      <c r="J270" s="27" t="n">
        <v>16720</v>
      </c>
      <c r="K270" s="11" t="n">
        <f aca="false">IF(I270=0,"",J270/I270)</f>
        <v>1</v>
      </c>
    </row>
    <row r="271" customFormat="false" ht="15" hidden="false" customHeight="false" outlineLevel="0" collapsed="false">
      <c r="A271" s="13" t="s">
        <v>73</v>
      </c>
      <c r="B271" s="13" t="s">
        <v>61</v>
      </c>
      <c r="C271" s="13" t="s">
        <v>102</v>
      </c>
      <c r="D271" s="9" t="n">
        <v>45778</v>
      </c>
      <c r="E271" s="26" t="n">
        <v>6.97</v>
      </c>
      <c r="F271" s="26" t="n">
        <v>24.2</v>
      </c>
      <c r="G271" s="11" t="n">
        <f aca="false">IF(E271=0,"",F271/E271)</f>
        <v>3.47202295552367</v>
      </c>
      <c r="H271" s="27" t="n">
        <v>2684</v>
      </c>
      <c r="I271" s="27" t="n">
        <v>9317</v>
      </c>
      <c r="J271" s="27" t="n">
        <v>9317</v>
      </c>
      <c r="K271" s="11" t="n">
        <f aca="false">IF(I271=0,"",J271/I271)</f>
        <v>1</v>
      </c>
    </row>
    <row r="272" customFormat="false" ht="15" hidden="false" customHeight="false" outlineLevel="0" collapsed="false">
      <c r="A272" s="13" t="s">
        <v>73</v>
      </c>
      <c r="B272" s="13" t="s">
        <v>61</v>
      </c>
      <c r="C272" s="13" t="s">
        <v>99</v>
      </c>
      <c r="D272" s="9" t="n">
        <v>45809</v>
      </c>
      <c r="E272" s="26" t="n">
        <v>57.3</v>
      </c>
      <c r="F272" s="26" t="n">
        <v>288</v>
      </c>
      <c r="G272" s="11" t="n">
        <f aca="false">IF(E272=0,"",F272/E272)</f>
        <v>5.0261780104712</v>
      </c>
      <c r="H272" s="27" t="n">
        <v>8881.58</v>
      </c>
      <c r="I272" s="27" t="n">
        <v>44640</v>
      </c>
      <c r="J272" s="27" t="n">
        <v>45996</v>
      </c>
      <c r="K272" s="11" t="n">
        <f aca="false">IF(I272=0,"",J272/I272)</f>
        <v>1.03037634408602</v>
      </c>
    </row>
    <row r="273" customFormat="false" ht="15" hidden="false" customHeight="false" outlineLevel="0" collapsed="false">
      <c r="A273" s="13" t="s">
        <v>73</v>
      </c>
      <c r="B273" s="13" t="s">
        <v>61</v>
      </c>
      <c r="C273" s="13" t="s">
        <v>100</v>
      </c>
      <c r="D273" s="9" t="n">
        <v>45809</v>
      </c>
      <c r="E273" s="26" t="n">
        <v>76.73</v>
      </c>
      <c r="F273" s="26" t="n">
        <v>409.7</v>
      </c>
      <c r="G273" s="11" t="n">
        <f aca="false">IF(E273=0,"",F273/E273)</f>
        <v>5.3395021503975</v>
      </c>
      <c r="H273" s="27" t="n">
        <v>16114.13</v>
      </c>
      <c r="I273" s="27" t="n">
        <v>86037</v>
      </c>
      <c r="J273" s="27" t="n">
        <v>85668.5</v>
      </c>
      <c r="K273" s="11" t="n">
        <f aca="false">IF(I273=0,"",J273/I273)</f>
        <v>0.995716958982763</v>
      </c>
    </row>
    <row r="274" customFormat="false" ht="15" hidden="false" customHeight="false" outlineLevel="0" collapsed="false">
      <c r="A274" s="13" t="s">
        <v>73</v>
      </c>
      <c r="B274" s="13" t="s">
        <v>61</v>
      </c>
      <c r="C274" s="13" t="s">
        <v>101</v>
      </c>
      <c r="D274" s="9" t="n">
        <v>45809</v>
      </c>
      <c r="E274" s="26" t="n">
        <v>27.49</v>
      </c>
      <c r="F274" s="26" t="n">
        <v>136.9</v>
      </c>
      <c r="G274" s="11" t="n">
        <f aca="false">IF(E274=0,"",F274/E274)</f>
        <v>4.97999272462714</v>
      </c>
      <c r="H274" s="27" t="n">
        <v>7560.92</v>
      </c>
      <c r="I274" s="27" t="n">
        <v>37647.5</v>
      </c>
      <c r="J274" s="27" t="n">
        <v>36915.5</v>
      </c>
      <c r="K274" s="11" t="n">
        <f aca="false">IF(I274=0,"",J274/I274)</f>
        <v>0.980556477853775</v>
      </c>
    </row>
    <row r="275" customFormat="false" ht="15" hidden="false" customHeight="false" outlineLevel="0" collapsed="false">
      <c r="A275" s="13" t="s">
        <v>73</v>
      </c>
      <c r="B275" s="13" t="s">
        <v>61</v>
      </c>
      <c r="C275" s="13" t="s">
        <v>102</v>
      </c>
      <c r="D275" s="9" t="n">
        <v>45809</v>
      </c>
      <c r="E275" s="26" t="n">
        <v>10.19</v>
      </c>
      <c r="F275" s="26" t="n">
        <v>51</v>
      </c>
      <c r="G275" s="11" t="n">
        <f aca="false">IF(E275=0,"",F275/E275)</f>
        <v>5.00490677134446</v>
      </c>
      <c r="H275" s="27" t="n">
        <v>3921.37</v>
      </c>
      <c r="I275" s="27" t="n">
        <v>19635</v>
      </c>
      <c r="J275" s="27" t="n">
        <v>19635</v>
      </c>
      <c r="K275" s="11" t="n">
        <f aca="false">IF(I275=0,"",J275/I275)</f>
        <v>1</v>
      </c>
    </row>
    <row r="276" customFormat="false" ht="15" hidden="false" customHeight="false" outlineLevel="0" collapsed="false">
      <c r="A276" s="13" t="s">
        <v>73</v>
      </c>
      <c r="B276" s="13" t="s">
        <v>61</v>
      </c>
      <c r="C276" s="13" t="s">
        <v>99</v>
      </c>
      <c r="D276" s="9" t="n">
        <v>45839</v>
      </c>
      <c r="E276" s="26" t="n">
        <v>73.92</v>
      </c>
      <c r="F276" s="26" t="n">
        <v>294.2</v>
      </c>
      <c r="G276" s="11" t="n">
        <f aca="false">IF(E276=0,"",F276/E276)</f>
        <v>3.97997835497835</v>
      </c>
      <c r="H276" s="27" t="n">
        <v>11457.08</v>
      </c>
      <c r="I276" s="27" t="n">
        <v>45601</v>
      </c>
      <c r="J276" s="27" t="n">
        <v>46033</v>
      </c>
      <c r="K276" s="11" t="n">
        <f aca="false">IF(I276=0,"",J276/I276)</f>
        <v>1.00947347645885</v>
      </c>
    </row>
    <row r="277" customFormat="false" ht="15" hidden="false" customHeight="false" outlineLevel="0" collapsed="false">
      <c r="A277" s="13" t="s">
        <v>73</v>
      </c>
      <c r="B277" s="13" t="s">
        <v>61</v>
      </c>
      <c r="C277" s="13" t="s">
        <v>100</v>
      </c>
      <c r="D277" s="9" t="n">
        <v>45839</v>
      </c>
      <c r="E277" s="26" t="n">
        <v>98.99</v>
      </c>
      <c r="F277" s="26" t="n">
        <v>387.7</v>
      </c>
      <c r="G277" s="11" t="n">
        <f aca="false">IF(E277=0,"",F277/E277)</f>
        <v>3.91655722800283</v>
      </c>
      <c r="H277" s="27" t="n">
        <v>20786.93</v>
      </c>
      <c r="I277" s="27" t="n">
        <v>81417</v>
      </c>
      <c r="J277" s="27" t="n">
        <v>81048.5</v>
      </c>
      <c r="K277" s="11" t="n">
        <f aca="false">IF(I277=0,"",J277/I277)</f>
        <v>0.995473918223467</v>
      </c>
    </row>
    <row r="278" customFormat="false" ht="15" hidden="false" customHeight="false" outlineLevel="0" collapsed="false">
      <c r="A278" s="13" t="s">
        <v>73</v>
      </c>
      <c r="B278" s="13" t="s">
        <v>61</v>
      </c>
      <c r="C278" s="13" t="s">
        <v>101</v>
      </c>
      <c r="D278" s="9" t="n">
        <v>45839</v>
      </c>
      <c r="E278" s="26" t="n">
        <v>35.47</v>
      </c>
      <c r="F278" s="26" t="n">
        <v>141.9</v>
      </c>
      <c r="G278" s="11" t="n">
        <f aca="false">IF(E278=0,"",F278/E278)</f>
        <v>4.00056385678038</v>
      </c>
      <c r="H278" s="27" t="n">
        <v>9753.45</v>
      </c>
      <c r="I278" s="27" t="n">
        <v>39022.5</v>
      </c>
      <c r="J278" s="27" t="n">
        <v>39253.5</v>
      </c>
      <c r="K278" s="11" t="n">
        <f aca="false">IF(I278=0,"",J278/I278)</f>
        <v>1.00591966173362</v>
      </c>
    </row>
    <row r="279" customFormat="false" ht="15" hidden="false" customHeight="false" outlineLevel="0" collapsed="false">
      <c r="A279" s="13" t="s">
        <v>73</v>
      </c>
      <c r="B279" s="13" t="s">
        <v>61</v>
      </c>
      <c r="C279" s="13" t="s">
        <v>102</v>
      </c>
      <c r="D279" s="9" t="n">
        <v>45839</v>
      </c>
      <c r="E279" s="26" t="n">
        <v>13.14</v>
      </c>
      <c r="F279" s="26" t="n">
        <v>54.5</v>
      </c>
      <c r="G279" s="11" t="n">
        <f aca="false">IF(E279=0,"",F279/E279)</f>
        <v>4.14764079147641</v>
      </c>
      <c r="H279" s="27" t="n">
        <v>5058.49</v>
      </c>
      <c r="I279" s="27" t="n">
        <v>20982.5</v>
      </c>
      <c r="J279" s="27" t="n">
        <v>20982.5</v>
      </c>
      <c r="K279" s="11" t="n">
        <f aca="false">IF(I279=0,"",J279/I279)</f>
        <v>1</v>
      </c>
    </row>
    <row r="280" customFormat="false" ht="15" hidden="false" customHeight="false" outlineLevel="0" collapsed="false">
      <c r="A280" s="13" t="s">
        <v>73</v>
      </c>
      <c r="B280" s="13" t="s">
        <v>61</v>
      </c>
      <c r="C280" s="13" t="s">
        <v>99</v>
      </c>
      <c r="D280" s="9" t="n">
        <v>45870</v>
      </c>
      <c r="E280" s="26" t="n">
        <v>87.72</v>
      </c>
      <c r="F280" s="26" t="n">
        <v>115.5</v>
      </c>
      <c r="G280" s="11" t="n">
        <f aca="false">IF(E280=0,"",F280/E280)</f>
        <v>1.31668946648427</v>
      </c>
      <c r="H280" s="27" t="n">
        <v>13596.87</v>
      </c>
      <c r="I280" s="27" t="n">
        <v>17902.5</v>
      </c>
      <c r="J280" s="27" t="n">
        <v>17902.5</v>
      </c>
      <c r="K280" s="11" t="n">
        <f aca="false">IF(I280=0,"",J280/I280)</f>
        <v>1</v>
      </c>
    </row>
    <row r="281" customFormat="false" ht="15" hidden="false" customHeight="false" outlineLevel="0" collapsed="false">
      <c r="A281" s="13" t="s">
        <v>73</v>
      </c>
      <c r="B281" s="13" t="s">
        <v>61</v>
      </c>
      <c r="C281" s="13" t="s">
        <v>100</v>
      </c>
      <c r="D281" s="9" t="n">
        <v>45870</v>
      </c>
      <c r="E281" s="26" t="n">
        <v>117.47</v>
      </c>
      <c r="F281" s="26" t="n">
        <v>159.6</v>
      </c>
      <c r="G281" s="11" t="n">
        <f aca="false">IF(E281=0,"",F281/E281)</f>
        <v>1.35864476036435</v>
      </c>
      <c r="H281" s="27" t="n">
        <v>24669.24</v>
      </c>
      <c r="I281" s="27" t="n">
        <v>33516</v>
      </c>
      <c r="J281" s="27" t="n">
        <v>33516</v>
      </c>
      <c r="K281" s="11" t="n">
        <f aca="false">IF(I281=0,"",J281/I281)</f>
        <v>1</v>
      </c>
    </row>
    <row r="282" customFormat="false" ht="15" hidden="false" customHeight="false" outlineLevel="0" collapsed="false">
      <c r="A282" s="13" t="s">
        <v>73</v>
      </c>
      <c r="B282" s="13" t="s">
        <v>61</v>
      </c>
      <c r="C282" s="13" t="s">
        <v>101</v>
      </c>
      <c r="D282" s="9" t="n">
        <v>45870</v>
      </c>
      <c r="E282" s="26" t="n">
        <v>42.09</v>
      </c>
      <c r="F282" s="26" t="n">
        <v>64</v>
      </c>
      <c r="G282" s="11" t="n">
        <f aca="false">IF(E282=0,"",F282/E282)</f>
        <v>1.52055119980993</v>
      </c>
      <c r="H282" s="27" t="n">
        <v>11575.06</v>
      </c>
      <c r="I282" s="27" t="n">
        <v>17600</v>
      </c>
      <c r="J282" s="27" t="n">
        <v>17600</v>
      </c>
      <c r="K282" s="11" t="n">
        <f aca="false">IF(I282=0,"",J282/I282)</f>
        <v>1</v>
      </c>
    </row>
    <row r="283" customFormat="false" ht="15" hidden="false" customHeight="false" outlineLevel="0" collapsed="false">
      <c r="A283" s="13" t="s">
        <v>73</v>
      </c>
      <c r="B283" s="13" t="s">
        <v>61</v>
      </c>
      <c r="C283" s="13" t="s">
        <v>102</v>
      </c>
      <c r="D283" s="9" t="n">
        <v>45870</v>
      </c>
      <c r="E283" s="26" t="n">
        <v>15.59</v>
      </c>
      <c r="F283" s="26" t="n">
        <v>20.8</v>
      </c>
      <c r="G283" s="11" t="n">
        <f aca="false">IF(E283=0,"",F283/E283)</f>
        <v>1.33418858242463</v>
      </c>
      <c r="H283" s="27" t="n">
        <v>6003.25</v>
      </c>
      <c r="I283" s="27" t="n">
        <v>8008</v>
      </c>
      <c r="J283" s="27" t="n">
        <v>8008</v>
      </c>
      <c r="K283" s="11" t="n">
        <f aca="false">IF(I283=0,"",J283/I283)</f>
        <v>1</v>
      </c>
    </row>
    <row r="284" customFormat="false" ht="15" hidden="false" customHeight="false" outlineLevel="0" collapsed="false">
      <c r="A284" s="13" t="s">
        <v>76</v>
      </c>
      <c r="B284" s="13" t="s">
        <v>45</v>
      </c>
      <c r="C284" s="13" t="s">
        <v>99</v>
      </c>
      <c r="D284" s="9" t="n">
        <v>45809</v>
      </c>
      <c r="E284" s="26" t="n">
        <v>20.84</v>
      </c>
      <c r="F284" s="26" t="n">
        <v>89</v>
      </c>
      <c r="G284" s="11" t="n">
        <f aca="false">IF(E284=0,"",F284/E284)</f>
        <v>4.27063339731286</v>
      </c>
      <c r="H284" s="27" t="n">
        <v>3230.71</v>
      </c>
      <c r="I284" s="27" t="n">
        <v>13795</v>
      </c>
      <c r="J284" s="27" t="n">
        <v>13795</v>
      </c>
      <c r="K284" s="11" t="n">
        <f aca="false">IF(I284=0,"",J284/I284)</f>
        <v>1</v>
      </c>
    </row>
    <row r="285" customFormat="false" ht="15" hidden="false" customHeight="false" outlineLevel="0" collapsed="false">
      <c r="A285" s="13" t="s">
        <v>76</v>
      </c>
      <c r="B285" s="13" t="s">
        <v>45</v>
      </c>
      <c r="C285" s="13" t="s">
        <v>100</v>
      </c>
      <c r="D285" s="9" t="n">
        <v>45809</v>
      </c>
      <c r="E285" s="26" t="n">
        <v>34.27</v>
      </c>
      <c r="F285" s="26" t="n">
        <v>133</v>
      </c>
      <c r="G285" s="11" t="n">
        <f aca="false">IF(E285=0,"",F285/E285)</f>
        <v>3.88094543332361</v>
      </c>
      <c r="H285" s="27" t="n">
        <v>7197.58</v>
      </c>
      <c r="I285" s="27" t="n">
        <v>27930</v>
      </c>
      <c r="J285" s="27" t="n">
        <v>29172.5</v>
      </c>
      <c r="K285" s="11" t="n">
        <f aca="false">IF(I285=0,"",J285/I285)</f>
        <v>1.04448621553885</v>
      </c>
    </row>
    <row r="286" customFormat="false" ht="15" hidden="false" customHeight="false" outlineLevel="0" collapsed="false">
      <c r="A286" s="13" t="s">
        <v>76</v>
      </c>
      <c r="B286" s="13" t="s">
        <v>45</v>
      </c>
      <c r="C286" s="13" t="s">
        <v>101</v>
      </c>
      <c r="D286" s="9" t="n">
        <v>45809</v>
      </c>
      <c r="E286" s="26" t="n">
        <v>11.31</v>
      </c>
      <c r="F286" s="26" t="n">
        <v>40.3</v>
      </c>
      <c r="G286" s="11" t="n">
        <f aca="false">IF(E286=0,"",F286/E286)</f>
        <v>3.5632183908046</v>
      </c>
      <c r="H286" s="27" t="n">
        <v>3109.86</v>
      </c>
      <c r="I286" s="27" t="n">
        <v>11082.5</v>
      </c>
      <c r="J286" s="27" t="n">
        <v>11082.5</v>
      </c>
      <c r="K286" s="11" t="n">
        <f aca="false">IF(I286=0,"",J286/I286)</f>
        <v>1</v>
      </c>
    </row>
    <row r="287" customFormat="false" ht="15" hidden="false" customHeight="false" outlineLevel="0" collapsed="false">
      <c r="A287" s="13" t="s">
        <v>76</v>
      </c>
      <c r="B287" s="13" t="s">
        <v>45</v>
      </c>
      <c r="C287" s="13" t="s">
        <v>102</v>
      </c>
      <c r="D287" s="9" t="n">
        <v>45809</v>
      </c>
      <c r="E287" s="26" t="n">
        <v>3.67</v>
      </c>
      <c r="F287" s="26" t="n">
        <v>16.1</v>
      </c>
      <c r="G287" s="11" t="n">
        <f aca="false">IF(E287=0,"",F287/E287)</f>
        <v>4.38692098092643</v>
      </c>
      <c r="H287" s="27" t="n">
        <v>1414.68</v>
      </c>
      <c r="I287" s="27" t="n">
        <v>6198.5</v>
      </c>
      <c r="J287" s="27" t="n">
        <v>6198.5</v>
      </c>
      <c r="K287" s="11" t="n">
        <f aca="false">IF(I287=0,"",J287/I287)</f>
        <v>1</v>
      </c>
    </row>
    <row r="288" customFormat="false" ht="15" hidden="false" customHeight="false" outlineLevel="0" collapsed="false">
      <c r="A288" s="13" t="s">
        <v>76</v>
      </c>
      <c r="B288" s="13" t="s">
        <v>45</v>
      </c>
      <c r="C288" s="13" t="s">
        <v>99</v>
      </c>
      <c r="D288" s="9" t="n">
        <v>45839</v>
      </c>
      <c r="E288" s="26" t="n">
        <v>27.93</v>
      </c>
      <c r="F288" s="26" t="n">
        <v>227.7</v>
      </c>
      <c r="G288" s="11" t="n">
        <f aca="false">IF(E288=0,"",F288/E288)</f>
        <v>8.15252416756176</v>
      </c>
      <c r="H288" s="27" t="n">
        <v>4329.85</v>
      </c>
      <c r="I288" s="27" t="n">
        <v>35293.5</v>
      </c>
      <c r="J288" s="27" t="n">
        <v>36157.5</v>
      </c>
      <c r="K288" s="11" t="n">
        <f aca="false">IF(I288=0,"",J288/I288)</f>
        <v>1.0244804284075</v>
      </c>
    </row>
    <row r="289" customFormat="false" ht="15" hidden="false" customHeight="false" outlineLevel="0" collapsed="false">
      <c r="A289" s="13" t="s">
        <v>76</v>
      </c>
      <c r="B289" s="13" t="s">
        <v>45</v>
      </c>
      <c r="C289" s="13" t="s">
        <v>100</v>
      </c>
      <c r="D289" s="9" t="n">
        <v>45839</v>
      </c>
      <c r="E289" s="26" t="n">
        <v>45.93</v>
      </c>
      <c r="F289" s="26" t="n">
        <v>376.8</v>
      </c>
      <c r="G289" s="11" t="n">
        <f aca="false">IF(E289=0,"",F289/E289)</f>
        <v>8.20378837361202</v>
      </c>
      <c r="H289" s="27" t="n">
        <v>9646.33</v>
      </c>
      <c r="I289" s="27" t="n">
        <v>79128</v>
      </c>
      <c r="J289" s="27" t="n">
        <v>78985</v>
      </c>
      <c r="K289" s="11" t="n">
        <f aca="false">IF(I289=0,"",J289/I289)</f>
        <v>0.998192801536751</v>
      </c>
    </row>
    <row r="290" customFormat="false" ht="15" hidden="false" customHeight="false" outlineLevel="0" collapsed="false">
      <c r="A290" s="13" t="s">
        <v>76</v>
      </c>
      <c r="B290" s="13" t="s">
        <v>45</v>
      </c>
      <c r="C290" s="13" t="s">
        <v>101</v>
      </c>
      <c r="D290" s="9" t="n">
        <v>45839</v>
      </c>
      <c r="E290" s="26" t="n">
        <v>15.16</v>
      </c>
      <c r="F290" s="26" t="n">
        <v>108.4</v>
      </c>
      <c r="G290" s="11" t="n">
        <f aca="false">IF(E290=0,"",F290/E290)</f>
        <v>7.15039577836412</v>
      </c>
      <c r="H290" s="27" t="n">
        <v>4167.89</v>
      </c>
      <c r="I290" s="27" t="n">
        <v>29810</v>
      </c>
      <c r="J290" s="27" t="n">
        <v>30437</v>
      </c>
      <c r="K290" s="11" t="n">
        <f aca="false">IF(I290=0,"",J290/I290)</f>
        <v>1.0210332103321</v>
      </c>
    </row>
    <row r="291" customFormat="false" ht="15" hidden="false" customHeight="false" outlineLevel="0" collapsed="false">
      <c r="A291" s="13" t="s">
        <v>76</v>
      </c>
      <c r="B291" s="13" t="s">
        <v>45</v>
      </c>
      <c r="C291" s="13" t="s">
        <v>102</v>
      </c>
      <c r="D291" s="9" t="n">
        <v>45839</v>
      </c>
      <c r="E291" s="26" t="n">
        <v>4.92</v>
      </c>
      <c r="F291" s="26" t="n">
        <v>33.9</v>
      </c>
      <c r="G291" s="11" t="n">
        <f aca="false">IF(E291=0,"",F291/E291)</f>
        <v>6.89024390243902</v>
      </c>
      <c r="H291" s="27" t="n">
        <v>1895.98</v>
      </c>
      <c r="I291" s="27" t="n">
        <v>13051.5</v>
      </c>
      <c r="J291" s="27" t="n">
        <v>13051.5</v>
      </c>
      <c r="K291" s="11" t="n">
        <f aca="false">IF(I291=0,"",J291/I291)</f>
        <v>1</v>
      </c>
    </row>
    <row r="292" customFormat="false" ht="15" hidden="false" customHeight="false" outlineLevel="0" collapsed="false">
      <c r="A292" s="13" t="s">
        <v>76</v>
      </c>
      <c r="B292" s="13" t="s">
        <v>45</v>
      </c>
      <c r="C292" s="13" t="s">
        <v>99</v>
      </c>
      <c r="D292" s="9" t="n">
        <v>45870</v>
      </c>
      <c r="E292" s="26" t="n">
        <v>34.72</v>
      </c>
      <c r="F292" s="26" t="n">
        <v>89.9</v>
      </c>
      <c r="G292" s="11" t="n">
        <f aca="false">IF(E292=0,"",F292/E292)</f>
        <v>2.58928571428571</v>
      </c>
      <c r="H292" s="27" t="n">
        <v>5380.96</v>
      </c>
      <c r="I292" s="27" t="n">
        <v>13934.5</v>
      </c>
      <c r="J292" s="27" t="n">
        <v>13934.5</v>
      </c>
      <c r="K292" s="11" t="n">
        <f aca="false">IF(I292=0,"",J292/I292)</f>
        <v>1</v>
      </c>
    </row>
    <row r="293" customFormat="false" ht="15" hidden="false" customHeight="false" outlineLevel="0" collapsed="false">
      <c r="A293" s="13" t="s">
        <v>76</v>
      </c>
      <c r="B293" s="13" t="s">
        <v>45</v>
      </c>
      <c r="C293" s="13" t="s">
        <v>100</v>
      </c>
      <c r="D293" s="9" t="n">
        <v>45870</v>
      </c>
      <c r="E293" s="26" t="n">
        <v>57.09</v>
      </c>
      <c r="F293" s="26" t="n">
        <v>137.2</v>
      </c>
      <c r="G293" s="11" t="n">
        <f aca="false">IF(E293=0,"",F293/E293)</f>
        <v>2.40322298125766</v>
      </c>
      <c r="H293" s="27" t="n">
        <v>11988.06</v>
      </c>
      <c r="I293" s="27" t="n">
        <v>28812</v>
      </c>
      <c r="J293" s="27" t="n">
        <v>28812</v>
      </c>
      <c r="K293" s="11" t="n">
        <f aca="false">IF(I293=0,"",J293/I293)</f>
        <v>1</v>
      </c>
    </row>
    <row r="294" customFormat="false" ht="15" hidden="false" customHeight="false" outlineLevel="0" collapsed="false">
      <c r="A294" s="13" t="s">
        <v>76</v>
      </c>
      <c r="B294" s="13" t="s">
        <v>45</v>
      </c>
      <c r="C294" s="13" t="s">
        <v>101</v>
      </c>
      <c r="D294" s="9" t="n">
        <v>45870</v>
      </c>
      <c r="E294" s="26" t="n">
        <v>18.84</v>
      </c>
      <c r="F294" s="26" t="n">
        <v>37.8</v>
      </c>
      <c r="G294" s="11" t="n">
        <f aca="false">IF(E294=0,"",F294/E294)</f>
        <v>2.00636942675159</v>
      </c>
      <c r="H294" s="27" t="n">
        <v>5179.68</v>
      </c>
      <c r="I294" s="27" t="n">
        <v>10395</v>
      </c>
      <c r="J294" s="27" t="n">
        <v>10395</v>
      </c>
      <c r="K294" s="11" t="n">
        <f aca="false">IF(I294=0,"",J294/I294)</f>
        <v>1</v>
      </c>
    </row>
    <row r="295" customFormat="false" ht="15" hidden="false" customHeight="false" outlineLevel="0" collapsed="false">
      <c r="A295" s="13" t="s">
        <v>76</v>
      </c>
      <c r="B295" s="13" t="s">
        <v>45</v>
      </c>
      <c r="C295" s="13" t="s">
        <v>102</v>
      </c>
      <c r="D295" s="9" t="n">
        <v>45870</v>
      </c>
      <c r="E295" s="26" t="n">
        <v>6.12</v>
      </c>
      <c r="F295" s="26" t="n">
        <v>14</v>
      </c>
      <c r="G295" s="11" t="n">
        <f aca="false">IF(E295=0,"",F295/E295)</f>
        <v>2.28758169934641</v>
      </c>
      <c r="H295" s="27" t="n">
        <v>2356.25</v>
      </c>
      <c r="I295" s="27" t="n">
        <v>5390</v>
      </c>
      <c r="J295" s="27" t="n">
        <v>5390</v>
      </c>
      <c r="K295" s="11" t="n">
        <f aca="false">IF(I295=0,"",J295/I295)</f>
        <v>1</v>
      </c>
    </row>
    <row r="296" customFormat="false" ht="15" hidden="false" customHeight="false" outlineLevel="0" collapsed="false">
      <c r="A296" s="13" t="s">
        <v>79</v>
      </c>
      <c r="B296" s="13" t="s">
        <v>50</v>
      </c>
      <c r="C296" s="13" t="s">
        <v>99</v>
      </c>
      <c r="D296" s="9" t="n">
        <v>45689</v>
      </c>
      <c r="E296" s="26" t="n">
        <v>23.24</v>
      </c>
      <c r="F296" s="26" t="n">
        <v>26.9</v>
      </c>
      <c r="G296" s="11" t="n">
        <f aca="false">IF(E296=0,"",F296/E296)</f>
        <v>1.15748709122203</v>
      </c>
      <c r="H296" s="27" t="n">
        <v>3601.61</v>
      </c>
      <c r="I296" s="27" t="n">
        <v>4169.5</v>
      </c>
      <c r="J296" s="27" t="n">
        <v>4169.5</v>
      </c>
      <c r="K296" s="11" t="n">
        <f aca="false">IF(I296=0,"",J296/I296)</f>
        <v>1</v>
      </c>
    </row>
    <row r="297" customFormat="false" ht="15" hidden="false" customHeight="false" outlineLevel="0" collapsed="false">
      <c r="A297" s="13" t="s">
        <v>79</v>
      </c>
      <c r="B297" s="13" t="s">
        <v>50</v>
      </c>
      <c r="C297" s="13" t="s">
        <v>100</v>
      </c>
      <c r="D297" s="9" t="n">
        <v>45689</v>
      </c>
      <c r="E297" s="26" t="n">
        <v>33.61</v>
      </c>
      <c r="F297" s="26" t="n">
        <v>40.4</v>
      </c>
      <c r="G297" s="11" t="n">
        <f aca="false">IF(E297=0,"",F297/E297)</f>
        <v>1.20202320737876</v>
      </c>
      <c r="H297" s="27" t="n">
        <v>7057.99</v>
      </c>
      <c r="I297" s="27" t="n">
        <v>8484</v>
      </c>
      <c r="J297" s="27" t="n">
        <v>8484</v>
      </c>
      <c r="K297" s="11" t="n">
        <f aca="false">IF(I297=0,"",J297/I297)</f>
        <v>1</v>
      </c>
    </row>
    <row r="298" customFormat="false" ht="15" hidden="false" customHeight="false" outlineLevel="0" collapsed="false">
      <c r="A298" s="13" t="s">
        <v>79</v>
      </c>
      <c r="B298" s="13" t="s">
        <v>50</v>
      </c>
      <c r="C298" s="13" t="s">
        <v>101</v>
      </c>
      <c r="D298" s="9" t="n">
        <v>45689</v>
      </c>
      <c r="E298" s="26" t="n">
        <v>11.26</v>
      </c>
      <c r="F298" s="26" t="n">
        <v>10.9</v>
      </c>
      <c r="G298" s="11" t="n">
        <f aca="false">IF(E298=0,"",F298/E298)</f>
        <v>0.968028419182949</v>
      </c>
      <c r="H298" s="27" t="n">
        <v>3095.13</v>
      </c>
      <c r="I298" s="27" t="n">
        <v>2997.5</v>
      </c>
      <c r="J298" s="27" t="n">
        <v>3305.5</v>
      </c>
      <c r="K298" s="11" t="n">
        <f aca="false">IF(I298=0,"",J298/I298)</f>
        <v>1.10275229357798</v>
      </c>
    </row>
    <row r="299" customFormat="false" ht="15" hidden="false" customHeight="false" outlineLevel="0" collapsed="false">
      <c r="A299" s="13" t="s">
        <v>79</v>
      </c>
      <c r="B299" s="13" t="s">
        <v>50</v>
      </c>
      <c r="C299" s="13" t="s">
        <v>102</v>
      </c>
      <c r="D299" s="9" t="n">
        <v>45689</v>
      </c>
      <c r="E299" s="26" t="n">
        <v>3.99</v>
      </c>
      <c r="F299" s="26" t="n">
        <v>6.3</v>
      </c>
      <c r="G299" s="11" t="n">
        <f aca="false">IF(E299=0,"",F299/E299)</f>
        <v>1.57894736842105</v>
      </c>
      <c r="H299" s="27" t="n">
        <v>1537.58</v>
      </c>
      <c r="I299" s="27" t="n">
        <v>2425.5</v>
      </c>
      <c r="J299" s="27" t="n">
        <v>2425.5</v>
      </c>
      <c r="K299" s="11" t="n">
        <f aca="false">IF(I299=0,"",J299/I299)</f>
        <v>1</v>
      </c>
    </row>
    <row r="300" customFormat="false" ht="15" hidden="false" customHeight="false" outlineLevel="0" collapsed="false">
      <c r="A300" s="13" t="s">
        <v>79</v>
      </c>
      <c r="B300" s="13" t="s">
        <v>50</v>
      </c>
      <c r="C300" s="13" t="s">
        <v>99</v>
      </c>
      <c r="D300" s="9" t="n">
        <v>45717</v>
      </c>
      <c r="E300" s="26" t="n">
        <v>36.24</v>
      </c>
      <c r="F300" s="26" t="n">
        <v>46.1</v>
      </c>
      <c r="G300" s="11" t="n">
        <f aca="false">IF(E300=0,"",F300/E300)</f>
        <v>1.27207505518764</v>
      </c>
      <c r="H300" s="27" t="n">
        <v>5617.32</v>
      </c>
      <c r="I300" s="27" t="n">
        <v>7145.5</v>
      </c>
      <c r="J300" s="27" t="n">
        <v>7145.5</v>
      </c>
      <c r="K300" s="11" t="n">
        <f aca="false">IF(I300=0,"",J300/I300)</f>
        <v>1</v>
      </c>
    </row>
    <row r="301" customFormat="false" ht="15" hidden="false" customHeight="false" outlineLevel="0" collapsed="false">
      <c r="A301" s="13" t="s">
        <v>79</v>
      </c>
      <c r="B301" s="13" t="s">
        <v>50</v>
      </c>
      <c r="C301" s="13" t="s">
        <v>100</v>
      </c>
      <c r="D301" s="9" t="n">
        <v>45717</v>
      </c>
      <c r="E301" s="26" t="n">
        <v>52.42</v>
      </c>
      <c r="F301" s="26" t="n">
        <v>82.9</v>
      </c>
      <c r="G301" s="11" t="n">
        <f aca="false">IF(E301=0,"",F301/E301)</f>
        <v>1.58145745898512</v>
      </c>
      <c r="H301" s="27" t="n">
        <v>11008.13</v>
      </c>
      <c r="I301" s="27" t="n">
        <v>17409</v>
      </c>
      <c r="J301" s="27" t="n">
        <v>17409</v>
      </c>
      <c r="K301" s="11" t="n">
        <f aca="false">IF(I301=0,"",J301/I301)</f>
        <v>1</v>
      </c>
    </row>
    <row r="302" customFormat="false" ht="15" hidden="false" customHeight="false" outlineLevel="0" collapsed="false">
      <c r="A302" s="13" t="s">
        <v>79</v>
      </c>
      <c r="B302" s="13" t="s">
        <v>50</v>
      </c>
      <c r="C302" s="13" t="s">
        <v>101</v>
      </c>
      <c r="D302" s="9" t="n">
        <v>45717</v>
      </c>
      <c r="E302" s="26" t="n">
        <v>17.55</v>
      </c>
      <c r="F302" s="26" t="n">
        <v>27.3</v>
      </c>
      <c r="G302" s="11" t="n">
        <f aca="false">IF(E302=0,"",F302/E302)</f>
        <v>1.55555555555556</v>
      </c>
      <c r="H302" s="27" t="n">
        <v>4827.38</v>
      </c>
      <c r="I302" s="27" t="n">
        <v>7507.5</v>
      </c>
      <c r="J302" s="27" t="n">
        <v>7507.5</v>
      </c>
      <c r="K302" s="11" t="n">
        <f aca="false">IF(I302=0,"",J302/I302)</f>
        <v>1</v>
      </c>
    </row>
    <row r="303" customFormat="false" ht="15" hidden="false" customHeight="false" outlineLevel="0" collapsed="false">
      <c r="A303" s="13" t="s">
        <v>79</v>
      </c>
      <c r="B303" s="13" t="s">
        <v>50</v>
      </c>
      <c r="C303" s="13" t="s">
        <v>102</v>
      </c>
      <c r="D303" s="9" t="n">
        <v>45717</v>
      </c>
      <c r="E303" s="26" t="n">
        <v>6.23</v>
      </c>
      <c r="F303" s="26" t="n">
        <v>6.2</v>
      </c>
      <c r="G303" s="11" t="n">
        <f aca="false">IF(E303=0,"",F303/E303)</f>
        <v>0.995184590690209</v>
      </c>
      <c r="H303" s="27" t="n">
        <v>2398.12</v>
      </c>
      <c r="I303" s="27" t="n">
        <v>2387</v>
      </c>
      <c r="J303" s="27" t="n">
        <v>2387</v>
      </c>
      <c r="K303" s="11" t="n">
        <f aca="false">IF(I303=0,"",J303/I303)</f>
        <v>1</v>
      </c>
    </row>
    <row r="304" customFormat="false" ht="15" hidden="false" customHeight="false" outlineLevel="0" collapsed="false">
      <c r="A304" s="13" t="s">
        <v>79</v>
      </c>
      <c r="B304" s="13" t="s">
        <v>50</v>
      </c>
      <c r="C304" s="13" t="s">
        <v>99</v>
      </c>
      <c r="D304" s="9" t="n">
        <v>45748</v>
      </c>
      <c r="E304" s="26" t="n">
        <v>47.68</v>
      </c>
      <c r="F304" s="26" t="n">
        <v>77.6</v>
      </c>
      <c r="G304" s="11" t="n">
        <f aca="false">IF(E304=0,"",F304/E304)</f>
        <v>1.62751677852349</v>
      </c>
      <c r="H304" s="27" t="n">
        <v>7389.9</v>
      </c>
      <c r="I304" s="27" t="n">
        <v>12028</v>
      </c>
      <c r="J304" s="27" t="n">
        <v>12028</v>
      </c>
      <c r="K304" s="11" t="n">
        <f aca="false">IF(I304=0,"",J304/I304)</f>
        <v>1</v>
      </c>
    </row>
    <row r="305" customFormat="false" ht="15" hidden="false" customHeight="false" outlineLevel="0" collapsed="false">
      <c r="A305" s="13" t="s">
        <v>79</v>
      </c>
      <c r="B305" s="13" t="s">
        <v>50</v>
      </c>
      <c r="C305" s="13" t="s">
        <v>100</v>
      </c>
      <c r="D305" s="9" t="n">
        <v>45748</v>
      </c>
      <c r="E305" s="26" t="n">
        <v>68.96</v>
      </c>
      <c r="F305" s="26" t="n">
        <v>117.4</v>
      </c>
      <c r="G305" s="11" t="n">
        <f aca="false">IF(E305=0,"",F305/E305)</f>
        <v>1.70243619489559</v>
      </c>
      <c r="H305" s="27" t="n">
        <v>14481.82</v>
      </c>
      <c r="I305" s="27" t="n">
        <v>24654</v>
      </c>
      <c r="J305" s="27" t="n">
        <v>24654</v>
      </c>
      <c r="K305" s="11" t="n">
        <f aca="false">IF(I305=0,"",J305/I305)</f>
        <v>1</v>
      </c>
    </row>
    <row r="306" customFormat="false" ht="15" hidden="false" customHeight="false" outlineLevel="0" collapsed="false">
      <c r="A306" s="13" t="s">
        <v>79</v>
      </c>
      <c r="B306" s="13" t="s">
        <v>50</v>
      </c>
      <c r="C306" s="13" t="s">
        <v>101</v>
      </c>
      <c r="D306" s="9" t="n">
        <v>45748</v>
      </c>
      <c r="E306" s="26" t="n">
        <v>23.09</v>
      </c>
      <c r="F306" s="26" t="n">
        <v>33.5</v>
      </c>
      <c r="G306" s="11" t="n">
        <f aca="false">IF(E306=0,"",F306/E306)</f>
        <v>1.45084452143785</v>
      </c>
      <c r="H306" s="27" t="n">
        <v>6350.7</v>
      </c>
      <c r="I306" s="27" t="n">
        <v>9212.5</v>
      </c>
      <c r="J306" s="27" t="n">
        <v>8564.5</v>
      </c>
      <c r="K306" s="11" t="n">
        <f aca="false">IF(I306=0,"",J306/I306)</f>
        <v>0.92966078697422</v>
      </c>
    </row>
    <row r="307" customFormat="false" ht="15" hidden="false" customHeight="false" outlineLevel="0" collapsed="false">
      <c r="A307" s="13" t="s">
        <v>79</v>
      </c>
      <c r="B307" s="13" t="s">
        <v>50</v>
      </c>
      <c r="C307" s="13" t="s">
        <v>102</v>
      </c>
      <c r="D307" s="9" t="n">
        <v>45748</v>
      </c>
      <c r="E307" s="26" t="n">
        <v>8.19</v>
      </c>
      <c r="F307" s="26" t="n">
        <v>14.6</v>
      </c>
      <c r="G307" s="11" t="n">
        <f aca="false">IF(E307=0,"",F307/E307)</f>
        <v>1.78266178266178</v>
      </c>
      <c r="H307" s="27" t="n">
        <v>3154.86</v>
      </c>
      <c r="I307" s="27" t="n">
        <v>5621</v>
      </c>
      <c r="J307" s="27" t="n">
        <v>5621</v>
      </c>
      <c r="K307" s="11" t="n">
        <f aca="false">IF(I307=0,"",J307/I307)</f>
        <v>1</v>
      </c>
    </row>
    <row r="308" customFormat="false" ht="15" hidden="false" customHeight="false" outlineLevel="0" collapsed="false">
      <c r="A308" s="13" t="s">
        <v>79</v>
      </c>
      <c r="B308" s="13" t="s">
        <v>50</v>
      </c>
      <c r="C308" s="13" t="s">
        <v>99</v>
      </c>
      <c r="D308" s="9" t="n">
        <v>45778</v>
      </c>
      <c r="E308" s="26" t="n">
        <v>56.16</v>
      </c>
      <c r="F308" s="26" t="n">
        <v>97.3</v>
      </c>
      <c r="G308" s="11" t="n">
        <f aca="false">IF(E308=0,"",F308/E308)</f>
        <v>1.73254985754986</v>
      </c>
      <c r="H308" s="27" t="n">
        <v>8705.56</v>
      </c>
      <c r="I308" s="27" t="n">
        <v>15081.5</v>
      </c>
      <c r="J308" s="27" t="n">
        <v>15081.5</v>
      </c>
      <c r="K308" s="11" t="n">
        <f aca="false">IF(I308=0,"",J308/I308)</f>
        <v>1</v>
      </c>
    </row>
    <row r="309" customFormat="false" ht="15" hidden="false" customHeight="false" outlineLevel="0" collapsed="false">
      <c r="A309" s="13" t="s">
        <v>79</v>
      </c>
      <c r="B309" s="13" t="s">
        <v>50</v>
      </c>
      <c r="C309" s="13" t="s">
        <v>100</v>
      </c>
      <c r="D309" s="9" t="n">
        <v>45778</v>
      </c>
      <c r="E309" s="26" t="n">
        <v>81.24</v>
      </c>
      <c r="F309" s="26" t="n">
        <v>107.3</v>
      </c>
      <c r="G309" s="11" t="n">
        <f aca="false">IF(E309=0,"",F309/E309)</f>
        <v>1.32077794190054</v>
      </c>
      <c r="H309" s="27" t="n">
        <v>17060.09</v>
      </c>
      <c r="I309" s="27" t="n">
        <v>22533</v>
      </c>
      <c r="J309" s="27" t="n">
        <v>22533</v>
      </c>
      <c r="K309" s="11" t="n">
        <f aca="false">IF(I309=0,"",J309/I309)</f>
        <v>1</v>
      </c>
    </row>
    <row r="310" customFormat="false" ht="15" hidden="false" customHeight="false" outlineLevel="0" collapsed="false">
      <c r="A310" s="13" t="s">
        <v>79</v>
      </c>
      <c r="B310" s="13" t="s">
        <v>50</v>
      </c>
      <c r="C310" s="13" t="s">
        <v>101</v>
      </c>
      <c r="D310" s="9" t="n">
        <v>45778</v>
      </c>
      <c r="E310" s="26" t="n">
        <v>27.2</v>
      </c>
      <c r="F310" s="26" t="n">
        <v>30.1</v>
      </c>
      <c r="G310" s="11" t="n">
        <f aca="false">IF(E310=0,"",F310/E310)</f>
        <v>1.10661764705882</v>
      </c>
      <c r="H310" s="27" t="n">
        <v>7481.34</v>
      </c>
      <c r="I310" s="27" t="n">
        <v>8277.5</v>
      </c>
      <c r="J310" s="27" t="n">
        <v>8277.5</v>
      </c>
      <c r="K310" s="11" t="n">
        <f aca="false">IF(I310=0,"",J310/I310)</f>
        <v>1</v>
      </c>
    </row>
    <row r="311" customFormat="false" ht="15" hidden="false" customHeight="false" outlineLevel="0" collapsed="false">
      <c r="A311" s="13" t="s">
        <v>79</v>
      </c>
      <c r="B311" s="13" t="s">
        <v>50</v>
      </c>
      <c r="C311" s="13" t="s">
        <v>102</v>
      </c>
      <c r="D311" s="9" t="n">
        <v>45778</v>
      </c>
      <c r="E311" s="26" t="n">
        <v>9.65</v>
      </c>
      <c r="F311" s="26" t="n">
        <v>15.2</v>
      </c>
      <c r="G311" s="11" t="n">
        <f aca="false">IF(E311=0,"",F311/E311)</f>
        <v>1.57512953367876</v>
      </c>
      <c r="H311" s="27" t="n">
        <v>3716.54</v>
      </c>
      <c r="I311" s="27" t="n">
        <v>5852</v>
      </c>
      <c r="J311" s="27" t="n">
        <v>5852</v>
      </c>
      <c r="K311" s="11" t="n">
        <f aca="false">IF(I311=0,"",J311/I311)</f>
        <v>1</v>
      </c>
    </row>
    <row r="312" customFormat="false" ht="15" hidden="false" customHeight="false" outlineLevel="0" collapsed="false">
      <c r="A312" s="13" t="s">
        <v>79</v>
      </c>
      <c r="B312" s="13" t="s">
        <v>50</v>
      </c>
      <c r="C312" s="13" t="s">
        <v>99</v>
      </c>
      <c r="D312" s="9" t="n">
        <v>45809</v>
      </c>
      <c r="E312" s="26" t="n">
        <v>60.68</v>
      </c>
      <c r="F312" s="26" t="n">
        <v>66.8</v>
      </c>
      <c r="G312" s="11" t="n">
        <f aca="false">IF(E312=0,"",F312/E312)</f>
        <v>1.10085695451549</v>
      </c>
      <c r="H312" s="27" t="n">
        <v>9405.61</v>
      </c>
      <c r="I312" s="27" t="n">
        <v>10354</v>
      </c>
      <c r="J312" s="27" t="n">
        <v>10354</v>
      </c>
      <c r="K312" s="11" t="n">
        <f aca="false">IF(I312=0,"",J312/I312)</f>
        <v>1</v>
      </c>
    </row>
    <row r="313" customFormat="false" ht="15" hidden="false" customHeight="false" outlineLevel="0" collapsed="false">
      <c r="A313" s="13" t="s">
        <v>79</v>
      </c>
      <c r="B313" s="13" t="s">
        <v>50</v>
      </c>
      <c r="C313" s="13" t="s">
        <v>100</v>
      </c>
      <c r="D313" s="9" t="n">
        <v>45809</v>
      </c>
      <c r="E313" s="26" t="n">
        <v>87.77</v>
      </c>
      <c r="F313" s="26" t="n">
        <v>106.9</v>
      </c>
      <c r="G313" s="11" t="n">
        <f aca="false">IF(E313=0,"",F313/E313)</f>
        <v>1.21795602141962</v>
      </c>
      <c r="H313" s="27" t="n">
        <v>18431.96</v>
      </c>
      <c r="I313" s="27" t="n">
        <v>22449</v>
      </c>
      <c r="J313" s="27" t="n">
        <v>22449</v>
      </c>
      <c r="K313" s="11" t="n">
        <f aca="false">IF(I313=0,"",J313/I313)</f>
        <v>1</v>
      </c>
    </row>
    <row r="314" customFormat="false" ht="15" hidden="false" customHeight="false" outlineLevel="0" collapsed="false">
      <c r="A314" s="13" t="s">
        <v>79</v>
      </c>
      <c r="B314" s="13" t="s">
        <v>50</v>
      </c>
      <c r="C314" s="13" t="s">
        <v>101</v>
      </c>
      <c r="D314" s="9" t="n">
        <v>45809</v>
      </c>
      <c r="E314" s="26" t="n">
        <v>29.39</v>
      </c>
      <c r="F314" s="26" t="n">
        <v>42.8</v>
      </c>
      <c r="G314" s="11" t="n">
        <f aca="false">IF(E314=0,"",F314/E314)</f>
        <v>1.45627764545764</v>
      </c>
      <c r="H314" s="27" t="n">
        <v>8082.95</v>
      </c>
      <c r="I314" s="27" t="n">
        <v>11770</v>
      </c>
      <c r="J314" s="27" t="n">
        <v>11770</v>
      </c>
      <c r="K314" s="11" t="n">
        <f aca="false">IF(I314=0,"",J314/I314)</f>
        <v>1</v>
      </c>
    </row>
    <row r="315" customFormat="false" ht="15" hidden="false" customHeight="false" outlineLevel="0" collapsed="false">
      <c r="A315" s="13" t="s">
        <v>79</v>
      </c>
      <c r="B315" s="13" t="s">
        <v>50</v>
      </c>
      <c r="C315" s="13" t="s">
        <v>102</v>
      </c>
      <c r="D315" s="9" t="n">
        <v>45809</v>
      </c>
      <c r="E315" s="26" t="n">
        <v>10.43</v>
      </c>
      <c r="F315" s="26" t="n">
        <v>14.5</v>
      </c>
      <c r="G315" s="11" t="n">
        <f aca="false">IF(E315=0,"",F315/E315)</f>
        <v>1.3902205177373</v>
      </c>
      <c r="H315" s="27" t="n">
        <v>4015.4</v>
      </c>
      <c r="I315" s="27" t="n">
        <v>5582.5</v>
      </c>
      <c r="J315" s="27" t="n">
        <v>5582.5</v>
      </c>
      <c r="K315" s="11" t="n">
        <f aca="false">IF(I315=0,"",J315/I315)</f>
        <v>1</v>
      </c>
    </row>
    <row r="316" customFormat="false" ht="15" hidden="false" customHeight="false" outlineLevel="0" collapsed="false">
      <c r="A316" s="13" t="s">
        <v>79</v>
      </c>
      <c r="B316" s="13" t="s">
        <v>50</v>
      </c>
      <c r="C316" s="13" t="s">
        <v>99</v>
      </c>
      <c r="D316" s="9" t="n">
        <v>45839</v>
      </c>
      <c r="E316" s="26" t="n">
        <v>60.68</v>
      </c>
      <c r="F316" s="26" t="n">
        <v>53.9</v>
      </c>
      <c r="G316" s="11" t="n">
        <f aca="false">IF(E316=0,"",F316/E316)</f>
        <v>0.888266315095583</v>
      </c>
      <c r="H316" s="27" t="n">
        <v>9405.61</v>
      </c>
      <c r="I316" s="27" t="n">
        <v>8354.5</v>
      </c>
      <c r="J316" s="27" t="n">
        <v>8354.5</v>
      </c>
      <c r="K316" s="11" t="n">
        <f aca="false">IF(I316=0,"",J316/I316)</f>
        <v>1</v>
      </c>
    </row>
    <row r="317" customFormat="false" ht="15" hidden="false" customHeight="false" outlineLevel="0" collapsed="false">
      <c r="A317" s="13" t="s">
        <v>79</v>
      </c>
      <c r="B317" s="13" t="s">
        <v>50</v>
      </c>
      <c r="C317" s="13" t="s">
        <v>100</v>
      </c>
      <c r="D317" s="9" t="n">
        <v>45839</v>
      </c>
      <c r="E317" s="26" t="n">
        <v>87.77</v>
      </c>
      <c r="F317" s="26" t="n">
        <v>73.3</v>
      </c>
      <c r="G317" s="11" t="n">
        <f aca="false">IF(E317=0,"",F317/E317)</f>
        <v>0.835137290646007</v>
      </c>
      <c r="H317" s="27" t="n">
        <v>18431.96</v>
      </c>
      <c r="I317" s="27" t="n">
        <v>15393</v>
      </c>
      <c r="J317" s="27" t="n">
        <v>15393</v>
      </c>
      <c r="K317" s="11" t="n">
        <f aca="false">IF(I317=0,"",J317/I317)</f>
        <v>1</v>
      </c>
    </row>
    <row r="318" customFormat="false" ht="15" hidden="false" customHeight="false" outlineLevel="0" collapsed="false">
      <c r="A318" s="13" t="s">
        <v>79</v>
      </c>
      <c r="B318" s="13" t="s">
        <v>50</v>
      </c>
      <c r="C318" s="13" t="s">
        <v>101</v>
      </c>
      <c r="D318" s="9" t="n">
        <v>45839</v>
      </c>
      <c r="E318" s="26" t="n">
        <v>29.39</v>
      </c>
      <c r="F318" s="26" t="n">
        <v>23.8</v>
      </c>
      <c r="G318" s="11" t="n">
        <f aca="false">IF(E318=0,"",F318/E318)</f>
        <v>0.80979925144607</v>
      </c>
      <c r="H318" s="27" t="n">
        <v>8082.95</v>
      </c>
      <c r="I318" s="27" t="n">
        <v>6545</v>
      </c>
      <c r="J318" s="27" t="n">
        <v>6005</v>
      </c>
      <c r="K318" s="11" t="n">
        <f aca="false">IF(I318=0,"",J318/I318)</f>
        <v>0.917494270435447</v>
      </c>
    </row>
    <row r="319" customFormat="false" ht="15" hidden="false" customHeight="false" outlineLevel="0" collapsed="false">
      <c r="A319" s="13" t="s">
        <v>79</v>
      </c>
      <c r="B319" s="13" t="s">
        <v>50</v>
      </c>
      <c r="C319" s="13" t="s">
        <v>102</v>
      </c>
      <c r="D319" s="9" t="n">
        <v>45839</v>
      </c>
      <c r="E319" s="26" t="n">
        <v>10.43</v>
      </c>
      <c r="F319" s="26" t="n">
        <v>6.1</v>
      </c>
      <c r="G319" s="11" t="n">
        <f aca="false">IF(E319=0,"",F319/E319)</f>
        <v>0.584851390220518</v>
      </c>
      <c r="H319" s="27" t="n">
        <v>4015.4</v>
      </c>
      <c r="I319" s="27" t="n">
        <v>2348.5</v>
      </c>
      <c r="J319" s="27" t="n">
        <v>2348.5</v>
      </c>
      <c r="K319" s="11" t="n">
        <f aca="false">IF(I319=0,"",J319/I319)</f>
        <v>1</v>
      </c>
    </row>
    <row r="320" customFormat="false" ht="15" hidden="false" customHeight="false" outlineLevel="0" collapsed="false">
      <c r="A320" s="13" t="s">
        <v>79</v>
      </c>
      <c r="B320" s="13" t="s">
        <v>50</v>
      </c>
      <c r="C320" s="13" t="s">
        <v>99</v>
      </c>
      <c r="D320" s="9" t="n">
        <v>45870</v>
      </c>
      <c r="E320" s="26" t="n">
        <v>56.16</v>
      </c>
      <c r="F320" s="26" t="n">
        <v>33.2</v>
      </c>
      <c r="G320" s="11" t="n">
        <f aca="false">IF(E320=0,"",F320/E320)</f>
        <v>0.591168091168091</v>
      </c>
      <c r="H320" s="27" t="n">
        <v>8705.56</v>
      </c>
      <c r="I320" s="27" t="n">
        <v>5146</v>
      </c>
      <c r="J320" s="27" t="n">
        <v>5146</v>
      </c>
      <c r="K320" s="11" t="n">
        <f aca="false">IF(I320=0,"",J320/I320)</f>
        <v>1</v>
      </c>
    </row>
    <row r="321" customFormat="false" ht="15" hidden="false" customHeight="false" outlineLevel="0" collapsed="false">
      <c r="A321" s="13" t="s">
        <v>79</v>
      </c>
      <c r="B321" s="13" t="s">
        <v>50</v>
      </c>
      <c r="C321" s="13" t="s">
        <v>100</v>
      </c>
      <c r="D321" s="9" t="n">
        <v>45870</v>
      </c>
      <c r="E321" s="26" t="n">
        <v>81.24</v>
      </c>
      <c r="F321" s="26" t="n">
        <v>47.8</v>
      </c>
      <c r="G321" s="11" t="n">
        <f aca="false">IF(E321=0,"",F321/E321)</f>
        <v>0.588380108321024</v>
      </c>
      <c r="H321" s="27" t="n">
        <v>17060.09</v>
      </c>
      <c r="I321" s="27" t="n">
        <v>10038</v>
      </c>
      <c r="J321" s="27" t="n">
        <v>10038</v>
      </c>
      <c r="K321" s="11" t="n">
        <f aca="false">IF(I321=0,"",J321/I321)</f>
        <v>1</v>
      </c>
    </row>
    <row r="322" customFormat="false" ht="15" hidden="false" customHeight="false" outlineLevel="0" collapsed="false">
      <c r="A322" s="13" t="s">
        <v>79</v>
      </c>
      <c r="B322" s="13" t="s">
        <v>50</v>
      </c>
      <c r="C322" s="13" t="s">
        <v>101</v>
      </c>
      <c r="D322" s="9" t="n">
        <v>45870</v>
      </c>
      <c r="E322" s="26" t="n">
        <v>27.2</v>
      </c>
      <c r="F322" s="26" t="n">
        <v>16.4</v>
      </c>
      <c r="G322" s="11" t="n">
        <f aca="false">IF(E322=0,"",F322/E322)</f>
        <v>0.602941176470588</v>
      </c>
      <c r="H322" s="27" t="n">
        <v>7481.34</v>
      </c>
      <c r="I322" s="27" t="n">
        <v>4510</v>
      </c>
      <c r="J322" s="27" t="n">
        <v>4510</v>
      </c>
      <c r="K322" s="11" t="n">
        <f aca="false">IF(I322=0,"",J322/I322)</f>
        <v>1</v>
      </c>
    </row>
    <row r="323" customFormat="false" ht="15" hidden="false" customHeight="false" outlineLevel="0" collapsed="false">
      <c r="A323" s="13" t="s">
        <v>79</v>
      </c>
      <c r="B323" s="13" t="s">
        <v>50</v>
      </c>
      <c r="C323" s="13" t="s">
        <v>102</v>
      </c>
      <c r="D323" s="9" t="n">
        <v>45870</v>
      </c>
      <c r="E323" s="26" t="n">
        <v>9.65</v>
      </c>
      <c r="F323" s="26" t="n">
        <v>5.8</v>
      </c>
      <c r="G323" s="11" t="n">
        <f aca="false">IF(E323=0,"",F323/E323)</f>
        <v>0.601036269430052</v>
      </c>
      <c r="H323" s="27" t="n">
        <v>3716.54</v>
      </c>
      <c r="I323" s="27" t="n">
        <v>2233</v>
      </c>
      <c r="J323" s="27" t="n">
        <v>2233</v>
      </c>
      <c r="K323" s="11" t="n">
        <f aca="false">IF(I323=0,"",J323/I323)</f>
        <v>1</v>
      </c>
    </row>
    <row r="324" customFormat="false" ht="15" hidden="false" customHeight="false" outlineLevel="0" collapsed="false">
      <c r="A324" s="13" t="s">
        <v>81</v>
      </c>
      <c r="B324" s="13" t="s">
        <v>54</v>
      </c>
      <c r="C324" s="13" t="s">
        <v>99</v>
      </c>
      <c r="D324" s="9" t="n">
        <v>45689</v>
      </c>
      <c r="E324" s="26" t="n">
        <v>24.34</v>
      </c>
      <c r="F324" s="26" t="n">
        <v>18.5</v>
      </c>
      <c r="G324" s="11" t="n">
        <f aca="false">IF(E324=0,"",F324/E324)</f>
        <v>0.760065735414955</v>
      </c>
      <c r="H324" s="27" t="n">
        <v>3772.41</v>
      </c>
      <c r="I324" s="27" t="n">
        <v>2867.5</v>
      </c>
      <c r="J324" s="27" t="n">
        <v>2867.5</v>
      </c>
      <c r="K324" s="11" t="n">
        <f aca="false">IF(I324=0,"",J324/I324)</f>
        <v>1</v>
      </c>
    </row>
    <row r="325" customFormat="false" ht="15" hidden="false" customHeight="false" outlineLevel="0" collapsed="false">
      <c r="A325" s="13" t="s">
        <v>81</v>
      </c>
      <c r="B325" s="13" t="s">
        <v>54</v>
      </c>
      <c r="C325" s="13" t="s">
        <v>100</v>
      </c>
      <c r="D325" s="9" t="n">
        <v>45689</v>
      </c>
      <c r="E325" s="26" t="n">
        <v>32.27</v>
      </c>
      <c r="F325" s="26" t="n">
        <v>20.3</v>
      </c>
      <c r="G325" s="11" t="n">
        <f aca="false">IF(E325=0,"",F325/E325)</f>
        <v>0.629067245119306</v>
      </c>
      <c r="H325" s="27" t="n">
        <v>6777.3</v>
      </c>
      <c r="I325" s="27" t="n">
        <v>4263</v>
      </c>
      <c r="J325" s="27" t="n">
        <v>4263</v>
      </c>
      <c r="K325" s="11" t="n">
        <f aca="false">IF(I325=0,"",J325/I325)</f>
        <v>1</v>
      </c>
    </row>
    <row r="326" customFormat="false" ht="15" hidden="false" customHeight="false" outlineLevel="0" collapsed="false">
      <c r="A326" s="13" t="s">
        <v>81</v>
      </c>
      <c r="B326" s="13" t="s">
        <v>54</v>
      </c>
      <c r="C326" s="13" t="s">
        <v>101</v>
      </c>
      <c r="D326" s="9" t="n">
        <v>45689</v>
      </c>
      <c r="E326" s="26" t="n">
        <v>12.21</v>
      </c>
      <c r="F326" s="26" t="n">
        <v>11.9</v>
      </c>
      <c r="G326" s="11" t="n">
        <f aca="false">IF(E326=0,"",F326/E326)</f>
        <v>0.974610974610975</v>
      </c>
      <c r="H326" s="27" t="n">
        <v>3356.99</v>
      </c>
      <c r="I326" s="27" t="n">
        <v>3272.5</v>
      </c>
      <c r="J326" s="27" t="n">
        <v>3272.5</v>
      </c>
      <c r="K326" s="11" t="n">
        <f aca="false">IF(I326=0,"",J326/I326)</f>
        <v>1</v>
      </c>
    </row>
    <row r="327" customFormat="false" ht="15" hidden="false" customHeight="false" outlineLevel="0" collapsed="false">
      <c r="A327" s="13" t="s">
        <v>81</v>
      </c>
      <c r="B327" s="13" t="s">
        <v>54</v>
      </c>
      <c r="C327" s="13" t="s">
        <v>102</v>
      </c>
      <c r="D327" s="9" t="n">
        <v>45689</v>
      </c>
      <c r="E327" s="26" t="n">
        <v>3.74</v>
      </c>
      <c r="F327" s="26" t="n">
        <v>3.4</v>
      </c>
      <c r="G327" s="11" t="n">
        <f aca="false">IF(E327=0,"",F327/E327)</f>
        <v>0.909090909090909</v>
      </c>
      <c r="H327" s="27" t="n">
        <v>1439.31</v>
      </c>
      <c r="I327" s="27" t="n">
        <v>1309</v>
      </c>
      <c r="J327" s="27" t="n">
        <v>1309</v>
      </c>
      <c r="K327" s="11" t="n">
        <f aca="false">IF(I327=0,"",J327/I327)</f>
        <v>1</v>
      </c>
    </row>
    <row r="328" customFormat="false" ht="15" hidden="false" customHeight="false" outlineLevel="0" collapsed="false">
      <c r="A328" s="13" t="s">
        <v>81</v>
      </c>
      <c r="B328" s="13" t="s">
        <v>54</v>
      </c>
      <c r="C328" s="13" t="s">
        <v>99</v>
      </c>
      <c r="D328" s="9" t="n">
        <v>45717</v>
      </c>
      <c r="E328" s="26" t="n">
        <v>44.25</v>
      </c>
      <c r="F328" s="26" t="n">
        <v>44.3</v>
      </c>
      <c r="G328" s="11" t="n">
        <f aca="false">IF(E328=0,"",F328/E328)</f>
        <v>1.00112994350282</v>
      </c>
      <c r="H328" s="27" t="n">
        <v>6858.93</v>
      </c>
      <c r="I328" s="27" t="n">
        <v>6866.5</v>
      </c>
      <c r="J328" s="27" t="n">
        <v>6866.5</v>
      </c>
      <c r="K328" s="11" t="n">
        <f aca="false">IF(I328=0,"",J328/I328)</f>
        <v>1</v>
      </c>
    </row>
    <row r="329" customFormat="false" ht="15" hidden="false" customHeight="false" outlineLevel="0" collapsed="false">
      <c r="A329" s="13" t="s">
        <v>81</v>
      </c>
      <c r="B329" s="13" t="s">
        <v>54</v>
      </c>
      <c r="C329" s="13" t="s">
        <v>100</v>
      </c>
      <c r="D329" s="9" t="n">
        <v>45717</v>
      </c>
      <c r="E329" s="26" t="n">
        <v>58.68</v>
      </c>
      <c r="F329" s="26" t="n">
        <v>56.8</v>
      </c>
      <c r="G329" s="11" t="n">
        <f aca="false">IF(E329=0,"",F329/E329)</f>
        <v>0.967961826857532</v>
      </c>
      <c r="H329" s="27" t="n">
        <v>12322.36</v>
      </c>
      <c r="I329" s="27" t="n">
        <v>11928</v>
      </c>
      <c r="J329" s="27" t="n">
        <v>11928</v>
      </c>
      <c r="K329" s="11" t="n">
        <f aca="false">IF(I329=0,"",J329/I329)</f>
        <v>1</v>
      </c>
    </row>
    <row r="330" customFormat="false" ht="15" hidden="false" customHeight="false" outlineLevel="0" collapsed="false">
      <c r="A330" s="13" t="s">
        <v>81</v>
      </c>
      <c r="B330" s="13" t="s">
        <v>54</v>
      </c>
      <c r="C330" s="13" t="s">
        <v>101</v>
      </c>
      <c r="D330" s="9" t="n">
        <v>45717</v>
      </c>
      <c r="E330" s="26" t="n">
        <v>22.19</v>
      </c>
      <c r="F330" s="26" t="n">
        <v>22.2</v>
      </c>
      <c r="G330" s="11" t="n">
        <f aca="false">IF(E330=0,"",F330/E330)</f>
        <v>1.0004506534475</v>
      </c>
      <c r="H330" s="27" t="n">
        <v>6103.61</v>
      </c>
      <c r="I330" s="27" t="n">
        <v>6105</v>
      </c>
      <c r="J330" s="27" t="n">
        <v>6105</v>
      </c>
      <c r="K330" s="11" t="n">
        <f aca="false">IF(I330=0,"",J330/I330)</f>
        <v>1</v>
      </c>
    </row>
    <row r="331" customFormat="false" ht="15" hidden="false" customHeight="false" outlineLevel="0" collapsed="false">
      <c r="A331" s="13" t="s">
        <v>81</v>
      </c>
      <c r="B331" s="13" t="s">
        <v>54</v>
      </c>
      <c r="C331" s="13" t="s">
        <v>102</v>
      </c>
      <c r="D331" s="9" t="n">
        <v>45717</v>
      </c>
      <c r="E331" s="26" t="n">
        <v>6.8</v>
      </c>
      <c r="F331" s="26" t="n">
        <v>2</v>
      </c>
      <c r="G331" s="11" t="n">
        <f aca="false">IF(E331=0,"",F331/E331)</f>
        <v>0.294117647058824</v>
      </c>
      <c r="H331" s="27" t="n">
        <v>2616.92</v>
      </c>
      <c r="I331" s="27" t="n">
        <v>770</v>
      </c>
      <c r="J331" s="27" t="n">
        <v>770</v>
      </c>
      <c r="K331" s="11" t="n">
        <f aca="false">IF(I331=0,"",J331/I331)</f>
        <v>1</v>
      </c>
    </row>
    <row r="332" customFormat="false" ht="15" hidden="false" customHeight="false" outlineLevel="0" collapsed="false">
      <c r="A332" s="13" t="s">
        <v>81</v>
      </c>
      <c r="B332" s="13" t="s">
        <v>54</v>
      </c>
      <c r="C332" s="13" t="s">
        <v>99</v>
      </c>
      <c r="D332" s="9" t="n">
        <v>45748</v>
      </c>
      <c r="E332" s="26" t="n">
        <v>58.83</v>
      </c>
      <c r="F332" s="26" t="n">
        <v>50.8</v>
      </c>
      <c r="G332" s="11" t="n">
        <f aca="false">IF(E332=0,"",F332/E332)</f>
        <v>0.863505014448411</v>
      </c>
      <c r="H332" s="27" t="n">
        <v>9118.42</v>
      </c>
      <c r="I332" s="27" t="n">
        <v>7874</v>
      </c>
      <c r="J332" s="27" t="n">
        <v>7874</v>
      </c>
      <c r="K332" s="11" t="n">
        <f aca="false">IF(I332=0,"",J332/I332)</f>
        <v>1</v>
      </c>
    </row>
    <row r="333" customFormat="false" ht="15" hidden="false" customHeight="false" outlineLevel="0" collapsed="false">
      <c r="A333" s="13" t="s">
        <v>81</v>
      </c>
      <c r="B333" s="13" t="s">
        <v>54</v>
      </c>
      <c r="C333" s="13" t="s">
        <v>100</v>
      </c>
      <c r="D333" s="9" t="n">
        <v>45748</v>
      </c>
      <c r="E333" s="26" t="n">
        <v>78.01</v>
      </c>
      <c r="F333" s="26" t="n">
        <v>74.8</v>
      </c>
      <c r="G333" s="11" t="n">
        <f aca="false">IF(E333=0,"",F333/E333)</f>
        <v>0.958851429303935</v>
      </c>
      <c r="H333" s="27" t="n">
        <v>16381.63</v>
      </c>
      <c r="I333" s="27" t="n">
        <v>15708</v>
      </c>
      <c r="J333" s="27" t="n">
        <v>15708</v>
      </c>
      <c r="K333" s="11" t="n">
        <f aca="false">IF(I333=0,"",J333/I333)</f>
        <v>1</v>
      </c>
    </row>
    <row r="334" customFormat="false" ht="15" hidden="false" customHeight="false" outlineLevel="0" collapsed="false">
      <c r="A334" s="13" t="s">
        <v>81</v>
      </c>
      <c r="B334" s="13" t="s">
        <v>54</v>
      </c>
      <c r="C334" s="13" t="s">
        <v>101</v>
      </c>
      <c r="D334" s="9" t="n">
        <v>45748</v>
      </c>
      <c r="E334" s="26" t="n">
        <v>29.51</v>
      </c>
      <c r="F334" s="26" t="n">
        <v>27.1</v>
      </c>
      <c r="G334" s="11" t="n">
        <f aca="false">IF(E334=0,"",F334/E334)</f>
        <v>0.918332768553033</v>
      </c>
      <c r="H334" s="27" t="n">
        <v>8114.28</v>
      </c>
      <c r="I334" s="27" t="n">
        <v>7452.5</v>
      </c>
      <c r="J334" s="27" t="n">
        <v>7452.5</v>
      </c>
      <c r="K334" s="11" t="n">
        <f aca="false">IF(I334=0,"",J334/I334)</f>
        <v>1</v>
      </c>
    </row>
    <row r="335" customFormat="false" ht="15" hidden="false" customHeight="false" outlineLevel="0" collapsed="false">
      <c r="A335" s="13" t="s">
        <v>81</v>
      </c>
      <c r="B335" s="13" t="s">
        <v>54</v>
      </c>
      <c r="C335" s="13" t="s">
        <v>102</v>
      </c>
      <c r="D335" s="9" t="n">
        <v>45748</v>
      </c>
      <c r="E335" s="26" t="n">
        <v>9.04</v>
      </c>
      <c r="F335" s="26" t="n">
        <v>8.9</v>
      </c>
      <c r="G335" s="11" t="n">
        <f aca="false">IF(E335=0,"",F335/E335)</f>
        <v>0.984513274336283</v>
      </c>
      <c r="H335" s="27" t="n">
        <v>3479</v>
      </c>
      <c r="I335" s="27" t="n">
        <v>3426.5</v>
      </c>
      <c r="J335" s="27" t="n">
        <v>3426.5</v>
      </c>
      <c r="K335" s="11" t="n">
        <f aca="false">IF(I335=0,"",J335/I335)</f>
        <v>1</v>
      </c>
    </row>
    <row r="336" customFormat="false" ht="15" hidden="false" customHeight="false" outlineLevel="0" collapsed="false">
      <c r="A336" s="13" t="s">
        <v>81</v>
      </c>
      <c r="B336" s="13" t="s">
        <v>54</v>
      </c>
      <c r="C336" s="13" t="s">
        <v>99</v>
      </c>
      <c r="D336" s="9" t="n">
        <v>45778</v>
      </c>
      <c r="E336" s="26" t="n">
        <v>64.16</v>
      </c>
      <c r="F336" s="26" t="n">
        <v>55.4</v>
      </c>
      <c r="G336" s="11" t="n">
        <f aca="false">IF(E336=0,"",F336/E336)</f>
        <v>0.863466334164589</v>
      </c>
      <c r="H336" s="27" t="n">
        <v>9945.45</v>
      </c>
      <c r="I336" s="27" t="n">
        <v>8587</v>
      </c>
      <c r="J336" s="27" t="n">
        <v>8587</v>
      </c>
      <c r="K336" s="11" t="n">
        <f aca="false">IF(I336=0,"",J336/I336)</f>
        <v>1</v>
      </c>
    </row>
    <row r="337" customFormat="false" ht="15" hidden="false" customHeight="false" outlineLevel="0" collapsed="false">
      <c r="A337" s="13" t="s">
        <v>81</v>
      </c>
      <c r="B337" s="13" t="s">
        <v>54</v>
      </c>
      <c r="C337" s="13" t="s">
        <v>100</v>
      </c>
      <c r="D337" s="9" t="n">
        <v>45778</v>
      </c>
      <c r="E337" s="26" t="n">
        <v>85.08</v>
      </c>
      <c r="F337" s="26" t="n">
        <v>74.2</v>
      </c>
      <c r="G337" s="11" t="n">
        <f aca="false">IF(E337=0,"",F337/E337)</f>
        <v>0.872120357310766</v>
      </c>
      <c r="H337" s="27" t="n">
        <v>17867.42</v>
      </c>
      <c r="I337" s="27" t="n">
        <v>15582</v>
      </c>
      <c r="J337" s="27" t="n">
        <v>15582</v>
      </c>
      <c r="K337" s="11" t="n">
        <f aca="false">IF(I337=0,"",J337/I337)</f>
        <v>1</v>
      </c>
    </row>
    <row r="338" customFormat="false" ht="15" hidden="false" customHeight="false" outlineLevel="0" collapsed="false">
      <c r="A338" s="13" t="s">
        <v>81</v>
      </c>
      <c r="B338" s="13" t="s">
        <v>54</v>
      </c>
      <c r="C338" s="13" t="s">
        <v>101</v>
      </c>
      <c r="D338" s="9" t="n">
        <v>45778</v>
      </c>
      <c r="E338" s="26" t="n">
        <v>32.18</v>
      </c>
      <c r="F338" s="26" t="n">
        <v>25.4</v>
      </c>
      <c r="G338" s="11" t="n">
        <f aca="false">IF(E338=0,"",F338/E338)</f>
        <v>0.789310130515848</v>
      </c>
      <c r="H338" s="27" t="n">
        <v>8850.24</v>
      </c>
      <c r="I338" s="27" t="n">
        <v>6985</v>
      </c>
      <c r="J338" s="27" t="n">
        <v>6985</v>
      </c>
      <c r="K338" s="11" t="n">
        <f aca="false">IF(I338=0,"",J338/I338)</f>
        <v>1</v>
      </c>
    </row>
    <row r="339" customFormat="false" ht="15" hidden="false" customHeight="false" outlineLevel="0" collapsed="false">
      <c r="A339" s="13" t="s">
        <v>81</v>
      </c>
      <c r="B339" s="13" t="s">
        <v>54</v>
      </c>
      <c r="C339" s="13" t="s">
        <v>102</v>
      </c>
      <c r="D339" s="9" t="n">
        <v>45778</v>
      </c>
      <c r="E339" s="26" t="n">
        <v>9.86</v>
      </c>
      <c r="F339" s="26" t="n">
        <v>6.8</v>
      </c>
      <c r="G339" s="11" t="n">
        <f aca="false">IF(E339=0,"",F339/E339)</f>
        <v>0.689655172413793</v>
      </c>
      <c r="H339" s="27" t="n">
        <v>3794.54</v>
      </c>
      <c r="I339" s="27" t="n">
        <v>2618</v>
      </c>
      <c r="J339" s="27" t="n">
        <v>2618</v>
      </c>
      <c r="K339" s="11" t="n">
        <f aca="false">IF(I339=0,"",J339/I339)</f>
        <v>1</v>
      </c>
    </row>
    <row r="340" customFormat="false" ht="15" hidden="false" customHeight="false" outlineLevel="0" collapsed="false">
      <c r="A340" s="13" t="s">
        <v>81</v>
      </c>
      <c r="B340" s="13" t="s">
        <v>54</v>
      </c>
      <c r="C340" s="13" t="s">
        <v>99</v>
      </c>
      <c r="D340" s="9" t="n">
        <v>45809</v>
      </c>
      <c r="E340" s="26" t="n">
        <v>58.83</v>
      </c>
      <c r="F340" s="26" t="n">
        <v>47.6</v>
      </c>
      <c r="G340" s="11" t="n">
        <f aca="false">IF(E340=0,"",F340/E340)</f>
        <v>0.809110997790243</v>
      </c>
      <c r="H340" s="27" t="n">
        <v>9118.42</v>
      </c>
      <c r="I340" s="27" t="n">
        <v>7378</v>
      </c>
      <c r="J340" s="27" t="n">
        <v>7378</v>
      </c>
      <c r="K340" s="11" t="n">
        <f aca="false">IF(I340=0,"",J340/I340)</f>
        <v>1</v>
      </c>
    </row>
    <row r="341" customFormat="false" ht="15" hidden="false" customHeight="false" outlineLevel="0" collapsed="false">
      <c r="A341" s="13" t="s">
        <v>81</v>
      </c>
      <c r="B341" s="13" t="s">
        <v>54</v>
      </c>
      <c r="C341" s="13" t="s">
        <v>100</v>
      </c>
      <c r="D341" s="9" t="n">
        <v>45809</v>
      </c>
      <c r="E341" s="26" t="n">
        <v>78.01</v>
      </c>
      <c r="F341" s="26" t="n">
        <v>58.4</v>
      </c>
      <c r="G341" s="11" t="n">
        <f aca="false">IF(E341=0,"",F341/E341)</f>
        <v>0.74862197154211</v>
      </c>
      <c r="H341" s="27" t="n">
        <v>16381.63</v>
      </c>
      <c r="I341" s="27" t="n">
        <v>12264</v>
      </c>
      <c r="J341" s="27" t="n">
        <v>12264</v>
      </c>
      <c r="K341" s="11" t="n">
        <f aca="false">IF(I341=0,"",J341/I341)</f>
        <v>1</v>
      </c>
    </row>
    <row r="342" customFormat="false" ht="15" hidden="false" customHeight="false" outlineLevel="0" collapsed="false">
      <c r="A342" s="13" t="s">
        <v>81</v>
      </c>
      <c r="B342" s="13" t="s">
        <v>54</v>
      </c>
      <c r="C342" s="13" t="s">
        <v>101</v>
      </c>
      <c r="D342" s="9" t="n">
        <v>45809</v>
      </c>
      <c r="E342" s="26" t="n">
        <v>29.51</v>
      </c>
      <c r="F342" s="26" t="n">
        <v>27.1</v>
      </c>
      <c r="G342" s="11" t="n">
        <f aca="false">IF(E342=0,"",F342/E342)</f>
        <v>0.918332768553033</v>
      </c>
      <c r="H342" s="27" t="n">
        <v>8114.28</v>
      </c>
      <c r="I342" s="27" t="n">
        <v>7452.5</v>
      </c>
      <c r="J342" s="27" t="n">
        <v>7452.5</v>
      </c>
      <c r="K342" s="11" t="n">
        <f aca="false">IF(I342=0,"",J342/I342)</f>
        <v>1</v>
      </c>
    </row>
    <row r="343" customFormat="false" ht="15" hidden="false" customHeight="false" outlineLevel="0" collapsed="false">
      <c r="A343" s="13" t="s">
        <v>81</v>
      </c>
      <c r="B343" s="13" t="s">
        <v>54</v>
      </c>
      <c r="C343" s="13" t="s">
        <v>102</v>
      </c>
      <c r="D343" s="9" t="n">
        <v>45809</v>
      </c>
      <c r="E343" s="26" t="n">
        <v>9.04</v>
      </c>
      <c r="F343" s="26" t="n">
        <v>9</v>
      </c>
      <c r="G343" s="11" t="n">
        <f aca="false">IF(E343=0,"",F343/E343)</f>
        <v>0.995575221238938</v>
      </c>
      <c r="H343" s="27" t="n">
        <v>3479</v>
      </c>
      <c r="I343" s="27" t="n">
        <v>3465</v>
      </c>
      <c r="J343" s="27" t="n">
        <v>3465</v>
      </c>
      <c r="K343" s="11" t="n">
        <f aca="false">IF(I343=0,"",J343/I343)</f>
        <v>1</v>
      </c>
    </row>
    <row r="344" customFormat="false" ht="15" hidden="false" customHeight="false" outlineLevel="0" collapsed="false">
      <c r="A344" s="13" t="s">
        <v>81</v>
      </c>
      <c r="B344" s="13" t="s">
        <v>54</v>
      </c>
      <c r="C344" s="13" t="s">
        <v>99</v>
      </c>
      <c r="D344" s="9" t="n">
        <v>45839</v>
      </c>
      <c r="E344" s="26" t="n">
        <v>44.25</v>
      </c>
      <c r="F344" s="26" t="n">
        <v>35.7</v>
      </c>
      <c r="G344" s="11" t="n">
        <f aca="false">IF(E344=0,"",F344/E344)</f>
        <v>0.806779661016949</v>
      </c>
      <c r="H344" s="27" t="n">
        <v>6858.93</v>
      </c>
      <c r="I344" s="27" t="n">
        <v>5533.5</v>
      </c>
      <c r="J344" s="27" t="n">
        <v>5533.5</v>
      </c>
      <c r="K344" s="11" t="n">
        <f aca="false">IF(I344=0,"",J344/I344)</f>
        <v>1</v>
      </c>
    </row>
    <row r="345" customFormat="false" ht="15" hidden="false" customHeight="false" outlineLevel="0" collapsed="false">
      <c r="A345" s="13" t="s">
        <v>81</v>
      </c>
      <c r="B345" s="13" t="s">
        <v>54</v>
      </c>
      <c r="C345" s="13" t="s">
        <v>100</v>
      </c>
      <c r="D345" s="9" t="n">
        <v>45839</v>
      </c>
      <c r="E345" s="26" t="n">
        <v>58.68</v>
      </c>
      <c r="F345" s="26" t="n">
        <v>54.1</v>
      </c>
      <c r="G345" s="11" t="n">
        <f aca="false">IF(E345=0,"",F345/E345)</f>
        <v>0.921949556918882</v>
      </c>
      <c r="H345" s="27" t="n">
        <v>12322.36</v>
      </c>
      <c r="I345" s="27" t="n">
        <v>11361</v>
      </c>
      <c r="J345" s="27" t="n">
        <v>11361</v>
      </c>
      <c r="K345" s="11" t="n">
        <f aca="false">IF(I345=0,"",J345/I345)</f>
        <v>1</v>
      </c>
    </row>
    <row r="346" customFormat="false" ht="15" hidden="false" customHeight="false" outlineLevel="0" collapsed="false">
      <c r="A346" s="13" t="s">
        <v>81</v>
      </c>
      <c r="B346" s="13" t="s">
        <v>54</v>
      </c>
      <c r="C346" s="13" t="s">
        <v>101</v>
      </c>
      <c r="D346" s="9" t="n">
        <v>45839</v>
      </c>
      <c r="E346" s="26" t="n">
        <v>22.19</v>
      </c>
      <c r="F346" s="26" t="n">
        <v>13.7</v>
      </c>
      <c r="G346" s="11" t="n">
        <f aca="false">IF(E346=0,"",F346/E346)</f>
        <v>0.617395223073456</v>
      </c>
      <c r="H346" s="27" t="n">
        <v>6103.61</v>
      </c>
      <c r="I346" s="27" t="n">
        <v>3767.5</v>
      </c>
      <c r="J346" s="27" t="n">
        <v>3767.5</v>
      </c>
      <c r="K346" s="11" t="n">
        <f aca="false">IF(I346=0,"",J346/I346)</f>
        <v>1</v>
      </c>
    </row>
    <row r="347" customFormat="false" ht="15" hidden="false" customHeight="false" outlineLevel="0" collapsed="false">
      <c r="A347" s="13" t="s">
        <v>81</v>
      </c>
      <c r="B347" s="13" t="s">
        <v>54</v>
      </c>
      <c r="C347" s="13" t="s">
        <v>102</v>
      </c>
      <c r="D347" s="9" t="n">
        <v>45839</v>
      </c>
      <c r="E347" s="26" t="n">
        <v>6.8</v>
      </c>
      <c r="F347" s="26" t="n">
        <v>4.4</v>
      </c>
      <c r="G347" s="11" t="n">
        <f aca="false">IF(E347=0,"",F347/E347)</f>
        <v>0.647058823529412</v>
      </c>
      <c r="H347" s="27" t="n">
        <v>2616.92</v>
      </c>
      <c r="I347" s="27" t="n">
        <v>1694</v>
      </c>
      <c r="J347" s="27" t="n">
        <v>1694</v>
      </c>
      <c r="K347" s="11" t="n">
        <f aca="false">IF(I347=0,"",J347/I347)</f>
        <v>1</v>
      </c>
    </row>
    <row r="348" customFormat="false" ht="15" hidden="false" customHeight="false" outlineLevel="0" collapsed="false">
      <c r="A348" s="13" t="s">
        <v>81</v>
      </c>
      <c r="B348" s="13" t="s">
        <v>54</v>
      </c>
      <c r="C348" s="13" t="s">
        <v>99</v>
      </c>
      <c r="D348" s="9" t="n">
        <v>45870</v>
      </c>
      <c r="E348" s="26" t="n">
        <v>24.34</v>
      </c>
      <c r="F348" s="26" t="n">
        <v>19.5</v>
      </c>
      <c r="G348" s="11" t="n">
        <f aca="false">IF(E348=0,"",F348/E348)</f>
        <v>0.801150369761709</v>
      </c>
      <c r="H348" s="27" t="n">
        <v>3772.41</v>
      </c>
      <c r="I348" s="27" t="n">
        <v>3022.5</v>
      </c>
      <c r="J348" s="27" t="n">
        <v>3022.5</v>
      </c>
      <c r="K348" s="11" t="n">
        <f aca="false">IF(I348=0,"",J348/I348)</f>
        <v>1</v>
      </c>
    </row>
    <row r="349" customFormat="false" ht="15" hidden="false" customHeight="false" outlineLevel="0" collapsed="false">
      <c r="A349" s="13" t="s">
        <v>81</v>
      </c>
      <c r="B349" s="13" t="s">
        <v>54</v>
      </c>
      <c r="C349" s="13" t="s">
        <v>100</v>
      </c>
      <c r="D349" s="9" t="n">
        <v>45870</v>
      </c>
      <c r="E349" s="26" t="n">
        <v>32.27</v>
      </c>
      <c r="F349" s="26" t="n">
        <v>23.4</v>
      </c>
      <c r="G349" s="11" t="n">
        <f aca="false">IF(E349=0,"",F349/E349)</f>
        <v>0.72513170127053</v>
      </c>
      <c r="H349" s="27" t="n">
        <v>6777.3</v>
      </c>
      <c r="I349" s="27" t="n">
        <v>4914</v>
      </c>
      <c r="J349" s="27" t="n">
        <v>4914</v>
      </c>
      <c r="K349" s="11" t="n">
        <f aca="false">IF(I349=0,"",J349/I349)</f>
        <v>1</v>
      </c>
    </row>
    <row r="350" customFormat="false" ht="15" hidden="false" customHeight="false" outlineLevel="0" collapsed="false">
      <c r="A350" s="13" t="s">
        <v>81</v>
      </c>
      <c r="B350" s="13" t="s">
        <v>54</v>
      </c>
      <c r="C350" s="13" t="s">
        <v>101</v>
      </c>
      <c r="D350" s="9" t="n">
        <v>45870</v>
      </c>
      <c r="E350" s="26" t="n">
        <v>12.21</v>
      </c>
      <c r="F350" s="26" t="n">
        <v>10.9</v>
      </c>
      <c r="G350" s="11" t="n">
        <f aca="false">IF(E350=0,"",F350/E350)</f>
        <v>0.892710892710893</v>
      </c>
      <c r="H350" s="27" t="n">
        <v>3356.99</v>
      </c>
      <c r="I350" s="27" t="n">
        <v>2997.5</v>
      </c>
      <c r="J350" s="27" t="n">
        <v>2997.5</v>
      </c>
      <c r="K350" s="11" t="n">
        <f aca="false">IF(I350=0,"",J350/I350)</f>
        <v>1</v>
      </c>
    </row>
    <row r="351" customFormat="false" ht="15" hidden="false" customHeight="false" outlineLevel="0" collapsed="false">
      <c r="A351" s="13" t="s">
        <v>81</v>
      </c>
      <c r="B351" s="13" t="s">
        <v>54</v>
      </c>
      <c r="C351" s="13" t="s">
        <v>102</v>
      </c>
      <c r="D351" s="9" t="n">
        <v>45870</v>
      </c>
      <c r="E351" s="26" t="n">
        <v>3.74</v>
      </c>
      <c r="F351" s="26" t="n">
        <v>3.7</v>
      </c>
      <c r="G351" s="11" t="n">
        <f aca="false">IF(E351=0,"",F351/E351)</f>
        <v>0.989304812834225</v>
      </c>
      <c r="H351" s="27" t="n">
        <v>1439.31</v>
      </c>
      <c r="I351" s="27" t="n">
        <v>1424.5</v>
      </c>
      <c r="J351" s="27" t="n">
        <v>1424.5</v>
      </c>
      <c r="K351" s="11" t="n">
        <f aca="false">IF(I351=0,"",J351/I351)</f>
        <v>1</v>
      </c>
    </row>
    <row r="352" customFormat="false" ht="15" hidden="false" customHeight="false" outlineLevel="0" collapsed="false">
      <c r="A352" s="13" t="s">
        <v>83</v>
      </c>
      <c r="B352" s="13" t="s">
        <v>58</v>
      </c>
      <c r="C352" s="13" t="s">
        <v>99</v>
      </c>
      <c r="D352" s="9" t="n">
        <v>45689</v>
      </c>
      <c r="E352" s="26" t="n">
        <v>15.03</v>
      </c>
      <c r="F352" s="26" t="n">
        <v>12</v>
      </c>
      <c r="G352" s="11" t="n">
        <f aca="false">IF(E352=0,"",F352/E352)</f>
        <v>0.798403193612775</v>
      </c>
      <c r="H352" s="27" t="n">
        <v>2329.67</v>
      </c>
      <c r="I352" s="27" t="n">
        <v>1860</v>
      </c>
      <c r="J352" s="27" t="n">
        <v>1860</v>
      </c>
      <c r="K352" s="11" t="n">
        <f aca="false">IF(I352=0,"",J352/I352)</f>
        <v>1</v>
      </c>
    </row>
    <row r="353" customFormat="false" ht="15" hidden="false" customHeight="false" outlineLevel="0" collapsed="false">
      <c r="A353" s="13" t="s">
        <v>83</v>
      </c>
      <c r="B353" s="13" t="s">
        <v>58</v>
      </c>
      <c r="C353" s="13" t="s">
        <v>100</v>
      </c>
      <c r="D353" s="9" t="n">
        <v>45689</v>
      </c>
      <c r="E353" s="26" t="n">
        <v>17.7</v>
      </c>
      <c r="F353" s="26" t="n">
        <v>15.6</v>
      </c>
      <c r="G353" s="11" t="n">
        <f aca="false">IF(E353=0,"",F353/E353)</f>
        <v>0.88135593220339</v>
      </c>
      <c r="H353" s="27" t="n">
        <v>3717.1</v>
      </c>
      <c r="I353" s="27" t="n">
        <v>3276</v>
      </c>
      <c r="J353" s="27" t="n">
        <v>3276</v>
      </c>
      <c r="K353" s="11" t="n">
        <f aca="false">IF(I353=0,"",J353/I353)</f>
        <v>1</v>
      </c>
    </row>
    <row r="354" customFormat="false" ht="15" hidden="false" customHeight="false" outlineLevel="0" collapsed="false">
      <c r="A354" s="13" t="s">
        <v>83</v>
      </c>
      <c r="B354" s="13" t="s">
        <v>58</v>
      </c>
      <c r="C354" s="13" t="s">
        <v>101</v>
      </c>
      <c r="D354" s="9" t="n">
        <v>45689</v>
      </c>
      <c r="E354" s="26" t="n">
        <v>8.16</v>
      </c>
      <c r="F354" s="26" t="n">
        <v>3.2</v>
      </c>
      <c r="G354" s="11" t="n">
        <f aca="false">IF(E354=0,"",F354/E354)</f>
        <v>0.392156862745098</v>
      </c>
      <c r="H354" s="27" t="n">
        <v>2244.98</v>
      </c>
      <c r="I354" s="27" t="n">
        <v>880</v>
      </c>
      <c r="J354" s="27" t="n">
        <v>880</v>
      </c>
      <c r="K354" s="11" t="n">
        <f aca="false">IF(I354=0,"",J354/I354)</f>
        <v>1</v>
      </c>
    </row>
    <row r="355" customFormat="false" ht="15" hidden="false" customHeight="false" outlineLevel="0" collapsed="false">
      <c r="A355" s="13" t="s">
        <v>83</v>
      </c>
      <c r="B355" s="13" t="s">
        <v>58</v>
      </c>
      <c r="C355" s="13" t="s">
        <v>102</v>
      </c>
      <c r="D355" s="9" t="n">
        <v>45689</v>
      </c>
      <c r="E355" s="26" t="n">
        <v>2.9</v>
      </c>
      <c r="F355" s="26" t="n">
        <v>2.6</v>
      </c>
      <c r="G355" s="11" t="n">
        <f aca="false">IF(E355=0,"",F355/E355)</f>
        <v>0.896551724137931</v>
      </c>
      <c r="H355" s="27" t="n">
        <v>1116.2</v>
      </c>
      <c r="I355" s="27" t="n">
        <v>1001</v>
      </c>
      <c r="J355" s="27" t="n">
        <v>1001</v>
      </c>
      <c r="K355" s="11" t="n">
        <f aca="false">IF(I355=0,"",J355/I355)</f>
        <v>1</v>
      </c>
    </row>
    <row r="356" customFormat="false" ht="15" hidden="false" customHeight="false" outlineLevel="0" collapsed="false">
      <c r="A356" s="13" t="s">
        <v>83</v>
      </c>
      <c r="B356" s="13" t="s">
        <v>58</v>
      </c>
      <c r="C356" s="13" t="s">
        <v>99</v>
      </c>
      <c r="D356" s="9" t="n">
        <v>45717</v>
      </c>
      <c r="E356" s="26" t="n">
        <v>27.33</v>
      </c>
      <c r="F356" s="26" t="n">
        <v>18.8</v>
      </c>
      <c r="G356" s="11" t="n">
        <f aca="false">IF(E356=0,"",F356/E356)</f>
        <v>0.687888766922796</v>
      </c>
      <c r="H356" s="27" t="n">
        <v>4235.77</v>
      </c>
      <c r="I356" s="27" t="n">
        <v>2914</v>
      </c>
      <c r="J356" s="27" t="n">
        <v>2914</v>
      </c>
      <c r="K356" s="11" t="n">
        <f aca="false">IF(I356=0,"",J356/I356)</f>
        <v>1</v>
      </c>
    </row>
    <row r="357" customFormat="false" ht="15" hidden="false" customHeight="false" outlineLevel="0" collapsed="false">
      <c r="A357" s="13" t="s">
        <v>83</v>
      </c>
      <c r="B357" s="13" t="s">
        <v>58</v>
      </c>
      <c r="C357" s="13" t="s">
        <v>100</v>
      </c>
      <c r="D357" s="9" t="n">
        <v>45717</v>
      </c>
      <c r="E357" s="26" t="n">
        <v>32.18</v>
      </c>
      <c r="F357" s="26" t="n">
        <v>24.2</v>
      </c>
      <c r="G357" s="11" t="n">
        <f aca="false">IF(E357=0,"",F357/E357)</f>
        <v>0.752019888129273</v>
      </c>
      <c r="H357" s="27" t="n">
        <v>6758.36</v>
      </c>
      <c r="I357" s="27" t="n">
        <v>5082</v>
      </c>
      <c r="J357" s="27" t="n">
        <v>5082</v>
      </c>
      <c r="K357" s="11" t="n">
        <f aca="false">IF(I357=0,"",J357/I357)</f>
        <v>1</v>
      </c>
    </row>
    <row r="358" customFormat="false" ht="15" hidden="false" customHeight="false" outlineLevel="0" collapsed="false">
      <c r="A358" s="13" t="s">
        <v>83</v>
      </c>
      <c r="B358" s="13" t="s">
        <v>58</v>
      </c>
      <c r="C358" s="13" t="s">
        <v>101</v>
      </c>
      <c r="D358" s="9" t="n">
        <v>45717</v>
      </c>
      <c r="E358" s="26" t="n">
        <v>14.84</v>
      </c>
      <c r="F358" s="26" t="n">
        <v>11.6</v>
      </c>
      <c r="G358" s="11" t="n">
        <f aca="false">IF(E358=0,"",F358/E358)</f>
        <v>0.78167115902965</v>
      </c>
      <c r="H358" s="27" t="n">
        <v>4081.79</v>
      </c>
      <c r="I358" s="27" t="n">
        <v>3190</v>
      </c>
      <c r="J358" s="27" t="n">
        <v>3190</v>
      </c>
      <c r="K358" s="11" t="n">
        <f aca="false">IF(I358=0,"",J358/I358)</f>
        <v>1</v>
      </c>
    </row>
    <row r="359" customFormat="false" ht="15" hidden="false" customHeight="false" outlineLevel="0" collapsed="false">
      <c r="A359" s="13" t="s">
        <v>83</v>
      </c>
      <c r="B359" s="13" t="s">
        <v>58</v>
      </c>
      <c r="C359" s="13" t="s">
        <v>102</v>
      </c>
      <c r="D359" s="9" t="n">
        <v>45717</v>
      </c>
      <c r="E359" s="26" t="n">
        <v>5.27</v>
      </c>
      <c r="F359" s="26" t="n">
        <v>3.3</v>
      </c>
      <c r="G359" s="11" t="n">
        <f aca="false">IF(E359=0,"",F359/E359)</f>
        <v>0.62618595825427</v>
      </c>
      <c r="H359" s="27" t="n">
        <v>2029.45</v>
      </c>
      <c r="I359" s="27" t="n">
        <v>1270.5</v>
      </c>
      <c r="J359" s="27" t="n">
        <v>1270.5</v>
      </c>
      <c r="K359" s="11" t="n">
        <f aca="false">IF(I359=0,"",J359/I359)</f>
        <v>1</v>
      </c>
    </row>
    <row r="360" customFormat="false" ht="15" hidden="false" customHeight="false" outlineLevel="0" collapsed="false">
      <c r="A360" s="13" t="s">
        <v>83</v>
      </c>
      <c r="B360" s="13" t="s">
        <v>58</v>
      </c>
      <c r="C360" s="13" t="s">
        <v>99</v>
      </c>
      <c r="D360" s="9" t="n">
        <v>45748</v>
      </c>
      <c r="E360" s="26" t="n">
        <v>36.33</v>
      </c>
      <c r="F360" s="26" t="n">
        <v>26.9</v>
      </c>
      <c r="G360" s="11" t="n">
        <f aca="false">IF(E360=0,"",F360/E360)</f>
        <v>0.740434902284613</v>
      </c>
      <c r="H360" s="27" t="n">
        <v>5631.13</v>
      </c>
      <c r="I360" s="27" t="n">
        <v>4169.5</v>
      </c>
      <c r="J360" s="27" t="n">
        <v>4169.5</v>
      </c>
      <c r="K360" s="11" t="n">
        <f aca="false">IF(I360=0,"",J360/I360)</f>
        <v>1</v>
      </c>
    </row>
    <row r="361" customFormat="false" ht="15" hidden="false" customHeight="false" outlineLevel="0" collapsed="false">
      <c r="A361" s="13" t="s">
        <v>83</v>
      </c>
      <c r="B361" s="13" t="s">
        <v>58</v>
      </c>
      <c r="C361" s="13" t="s">
        <v>100</v>
      </c>
      <c r="D361" s="9" t="n">
        <v>45748</v>
      </c>
      <c r="E361" s="26" t="n">
        <v>42.78</v>
      </c>
      <c r="F361" s="26" t="n">
        <v>30.8</v>
      </c>
      <c r="G361" s="11" t="n">
        <f aca="false">IF(E361=0,"",F361/E361)</f>
        <v>0.719962599345489</v>
      </c>
      <c r="H361" s="27" t="n">
        <v>8984.72</v>
      </c>
      <c r="I361" s="27" t="n">
        <v>6468</v>
      </c>
      <c r="J361" s="27" t="n">
        <v>6468</v>
      </c>
      <c r="K361" s="11" t="n">
        <f aca="false">IF(I361=0,"",J361/I361)</f>
        <v>1</v>
      </c>
    </row>
    <row r="362" customFormat="false" ht="15" hidden="false" customHeight="false" outlineLevel="0" collapsed="false">
      <c r="A362" s="13" t="s">
        <v>83</v>
      </c>
      <c r="B362" s="13" t="s">
        <v>58</v>
      </c>
      <c r="C362" s="13" t="s">
        <v>101</v>
      </c>
      <c r="D362" s="9" t="n">
        <v>45748</v>
      </c>
      <c r="E362" s="26" t="n">
        <v>19.73</v>
      </c>
      <c r="F362" s="26" t="n">
        <v>11.9</v>
      </c>
      <c r="G362" s="11" t="n">
        <f aca="false">IF(E362=0,"",F362/E362)</f>
        <v>0.603142422706538</v>
      </c>
      <c r="H362" s="27" t="n">
        <v>5426.43</v>
      </c>
      <c r="I362" s="27" t="n">
        <v>3272.5</v>
      </c>
      <c r="J362" s="27" t="n">
        <v>3272.5</v>
      </c>
      <c r="K362" s="11" t="n">
        <f aca="false">IF(I362=0,"",J362/I362)</f>
        <v>1</v>
      </c>
    </row>
    <row r="363" customFormat="false" ht="15" hidden="false" customHeight="false" outlineLevel="0" collapsed="false">
      <c r="A363" s="13" t="s">
        <v>83</v>
      </c>
      <c r="B363" s="13" t="s">
        <v>58</v>
      </c>
      <c r="C363" s="13" t="s">
        <v>102</v>
      </c>
      <c r="D363" s="9" t="n">
        <v>45748</v>
      </c>
      <c r="E363" s="26" t="n">
        <v>7.01</v>
      </c>
      <c r="F363" s="26" t="n">
        <v>5.2</v>
      </c>
      <c r="G363" s="11" t="n">
        <f aca="false">IF(E363=0,"",F363/E363)</f>
        <v>0.741797432239658</v>
      </c>
      <c r="H363" s="27" t="n">
        <v>2698</v>
      </c>
      <c r="I363" s="27" t="n">
        <v>2002</v>
      </c>
      <c r="J363" s="27" t="n">
        <v>2002</v>
      </c>
      <c r="K363" s="11" t="n">
        <f aca="false">IF(I363=0,"",J363/I363)</f>
        <v>1</v>
      </c>
    </row>
    <row r="364" customFormat="false" ht="15" hidden="false" customHeight="false" outlineLevel="0" collapsed="false">
      <c r="A364" s="13" t="s">
        <v>83</v>
      </c>
      <c r="B364" s="13" t="s">
        <v>58</v>
      </c>
      <c r="C364" s="13" t="s">
        <v>99</v>
      </c>
      <c r="D364" s="9" t="n">
        <v>45778</v>
      </c>
      <c r="E364" s="26" t="n">
        <v>39.62</v>
      </c>
      <c r="F364" s="26" t="n">
        <v>34.9</v>
      </c>
      <c r="G364" s="11" t="n">
        <f aca="false">IF(E364=0,"",F364/E364)</f>
        <v>0.880868248359415</v>
      </c>
      <c r="H364" s="27" t="n">
        <v>6141.86</v>
      </c>
      <c r="I364" s="27" t="n">
        <v>5409.5</v>
      </c>
      <c r="J364" s="27" t="n">
        <v>5409.5</v>
      </c>
      <c r="K364" s="11" t="n">
        <f aca="false">IF(I364=0,"",J364/I364)</f>
        <v>1</v>
      </c>
    </row>
    <row r="365" customFormat="false" ht="15" hidden="false" customHeight="false" outlineLevel="0" collapsed="false">
      <c r="A365" s="13" t="s">
        <v>83</v>
      </c>
      <c r="B365" s="13" t="s">
        <v>58</v>
      </c>
      <c r="C365" s="13" t="s">
        <v>100</v>
      </c>
      <c r="D365" s="9" t="n">
        <v>45778</v>
      </c>
      <c r="E365" s="26" t="n">
        <v>46.66</v>
      </c>
      <c r="F365" s="26" t="n">
        <v>36.3</v>
      </c>
      <c r="G365" s="11" t="n">
        <f aca="false">IF(E365=0,"",F365/E365)</f>
        <v>0.777968281183026</v>
      </c>
      <c r="H365" s="27" t="n">
        <v>9799.63</v>
      </c>
      <c r="I365" s="27" t="n">
        <v>7623</v>
      </c>
      <c r="J365" s="27" t="n">
        <v>7623</v>
      </c>
      <c r="K365" s="11" t="n">
        <f aca="false">IF(I365=0,"",J365/I365)</f>
        <v>1</v>
      </c>
    </row>
    <row r="366" customFormat="false" ht="15" hidden="false" customHeight="false" outlineLevel="0" collapsed="false">
      <c r="A366" s="13" t="s">
        <v>83</v>
      </c>
      <c r="B366" s="13" t="s">
        <v>58</v>
      </c>
      <c r="C366" s="13" t="s">
        <v>101</v>
      </c>
      <c r="D366" s="9" t="n">
        <v>45778</v>
      </c>
      <c r="E366" s="26" t="n">
        <v>21.52</v>
      </c>
      <c r="F366" s="26" t="n">
        <v>13.4</v>
      </c>
      <c r="G366" s="11" t="n">
        <f aca="false">IF(E366=0,"",F366/E366)</f>
        <v>0.622676579925651</v>
      </c>
      <c r="H366" s="27" t="n">
        <v>5918.6</v>
      </c>
      <c r="I366" s="27" t="n">
        <v>3685</v>
      </c>
      <c r="J366" s="27" t="n">
        <v>3685</v>
      </c>
      <c r="K366" s="11" t="n">
        <f aca="false">IF(I366=0,"",J366/I366)</f>
        <v>1</v>
      </c>
    </row>
    <row r="367" customFormat="false" ht="15" hidden="false" customHeight="false" outlineLevel="0" collapsed="false">
      <c r="A367" s="13" t="s">
        <v>83</v>
      </c>
      <c r="B367" s="13" t="s">
        <v>58</v>
      </c>
      <c r="C367" s="13" t="s">
        <v>102</v>
      </c>
      <c r="D367" s="9" t="n">
        <v>45778</v>
      </c>
      <c r="E367" s="26" t="n">
        <v>7.64</v>
      </c>
      <c r="F367" s="26" t="n">
        <v>3.6</v>
      </c>
      <c r="G367" s="11" t="n">
        <f aca="false">IF(E367=0,"",F367/E367)</f>
        <v>0.471204188481675</v>
      </c>
      <c r="H367" s="27" t="n">
        <v>2942.7</v>
      </c>
      <c r="I367" s="27" t="n">
        <v>1386</v>
      </c>
      <c r="J367" s="27" t="n">
        <v>1386</v>
      </c>
      <c r="K367" s="11" t="n">
        <f aca="false">IF(I367=0,"",J367/I367)</f>
        <v>1</v>
      </c>
    </row>
    <row r="368" customFormat="false" ht="15" hidden="false" customHeight="false" outlineLevel="0" collapsed="false">
      <c r="A368" s="13" t="s">
        <v>83</v>
      </c>
      <c r="B368" s="13" t="s">
        <v>58</v>
      </c>
      <c r="C368" s="13" t="s">
        <v>99</v>
      </c>
      <c r="D368" s="9" t="n">
        <v>45809</v>
      </c>
      <c r="E368" s="26" t="n">
        <v>36.33</v>
      </c>
      <c r="F368" s="26" t="n">
        <v>26.4</v>
      </c>
      <c r="G368" s="11" t="n">
        <f aca="false">IF(E368=0,"",F368/E368)</f>
        <v>0.726672171758877</v>
      </c>
      <c r="H368" s="27" t="n">
        <v>5631.13</v>
      </c>
      <c r="I368" s="27" t="n">
        <v>4092</v>
      </c>
      <c r="J368" s="27" t="n">
        <v>4092</v>
      </c>
      <c r="K368" s="11" t="n">
        <f aca="false">IF(I368=0,"",J368/I368)</f>
        <v>1</v>
      </c>
    </row>
    <row r="369" customFormat="false" ht="15" hidden="false" customHeight="false" outlineLevel="0" collapsed="false">
      <c r="A369" s="13" t="s">
        <v>83</v>
      </c>
      <c r="B369" s="13" t="s">
        <v>58</v>
      </c>
      <c r="C369" s="13" t="s">
        <v>100</v>
      </c>
      <c r="D369" s="9" t="n">
        <v>45809</v>
      </c>
      <c r="E369" s="26" t="n">
        <v>42.78</v>
      </c>
      <c r="F369" s="26" t="n">
        <v>35.9</v>
      </c>
      <c r="G369" s="11" t="n">
        <f aca="false">IF(E369=0,"",F369/E369)</f>
        <v>0.839177185600748</v>
      </c>
      <c r="H369" s="27" t="n">
        <v>8984.72</v>
      </c>
      <c r="I369" s="27" t="n">
        <v>7539</v>
      </c>
      <c r="J369" s="27" t="n">
        <v>7883.5</v>
      </c>
      <c r="K369" s="11" t="n">
        <f aca="false">IF(I369=0,"",J369/I369)</f>
        <v>1.04569571561215</v>
      </c>
    </row>
    <row r="370" customFormat="false" ht="15" hidden="false" customHeight="false" outlineLevel="0" collapsed="false">
      <c r="A370" s="13" t="s">
        <v>83</v>
      </c>
      <c r="B370" s="13" t="s">
        <v>58</v>
      </c>
      <c r="C370" s="13" t="s">
        <v>101</v>
      </c>
      <c r="D370" s="9" t="n">
        <v>45809</v>
      </c>
      <c r="E370" s="26" t="n">
        <v>19.73</v>
      </c>
      <c r="F370" s="26" t="n">
        <v>15.9</v>
      </c>
      <c r="G370" s="11" t="n">
        <f aca="false">IF(E370=0,"",F370/E370)</f>
        <v>0.805879371515459</v>
      </c>
      <c r="H370" s="27" t="n">
        <v>5426.43</v>
      </c>
      <c r="I370" s="27" t="n">
        <v>4372.5</v>
      </c>
      <c r="J370" s="27" t="n">
        <v>4372.5</v>
      </c>
      <c r="K370" s="11" t="n">
        <f aca="false">IF(I370=0,"",J370/I370)</f>
        <v>1</v>
      </c>
    </row>
    <row r="371" customFormat="false" ht="15" hidden="false" customHeight="false" outlineLevel="0" collapsed="false">
      <c r="A371" s="13" t="s">
        <v>83</v>
      </c>
      <c r="B371" s="13" t="s">
        <v>58</v>
      </c>
      <c r="C371" s="13" t="s">
        <v>102</v>
      </c>
      <c r="D371" s="9" t="n">
        <v>45809</v>
      </c>
      <c r="E371" s="26" t="n">
        <v>7.01</v>
      </c>
      <c r="F371" s="26" t="n">
        <v>4.5</v>
      </c>
      <c r="G371" s="11" t="n">
        <f aca="false">IF(E371=0,"",F371/E371)</f>
        <v>0.641940085592011</v>
      </c>
      <c r="H371" s="27" t="n">
        <v>2698</v>
      </c>
      <c r="I371" s="27" t="n">
        <v>1732.5</v>
      </c>
      <c r="J371" s="27" t="n">
        <v>1732.5</v>
      </c>
      <c r="K371" s="11" t="n">
        <f aca="false">IF(I371=0,"",J371/I371)</f>
        <v>1</v>
      </c>
    </row>
    <row r="372" customFormat="false" ht="15" hidden="false" customHeight="false" outlineLevel="0" collapsed="false">
      <c r="A372" s="13" t="s">
        <v>83</v>
      </c>
      <c r="B372" s="13" t="s">
        <v>58</v>
      </c>
      <c r="C372" s="13" t="s">
        <v>99</v>
      </c>
      <c r="D372" s="9" t="n">
        <v>45839</v>
      </c>
      <c r="E372" s="26" t="n">
        <v>27.33</v>
      </c>
      <c r="F372" s="26" t="n">
        <v>16</v>
      </c>
      <c r="G372" s="11" t="n">
        <f aca="false">IF(E372=0,"",F372/E372)</f>
        <v>0.585437248444932</v>
      </c>
      <c r="H372" s="27" t="n">
        <v>4235.77</v>
      </c>
      <c r="I372" s="27" t="n">
        <v>2480</v>
      </c>
      <c r="J372" s="27" t="n">
        <v>2480</v>
      </c>
      <c r="K372" s="11" t="n">
        <f aca="false">IF(I372=0,"",J372/I372)</f>
        <v>1</v>
      </c>
    </row>
    <row r="373" customFormat="false" ht="15" hidden="false" customHeight="false" outlineLevel="0" collapsed="false">
      <c r="A373" s="13" t="s">
        <v>83</v>
      </c>
      <c r="B373" s="13" t="s">
        <v>58</v>
      </c>
      <c r="C373" s="13" t="s">
        <v>100</v>
      </c>
      <c r="D373" s="9" t="n">
        <v>45839</v>
      </c>
      <c r="E373" s="26" t="n">
        <v>32.18</v>
      </c>
      <c r="F373" s="26" t="n">
        <v>23.5</v>
      </c>
      <c r="G373" s="11" t="n">
        <f aca="false">IF(E373=0,"",F373/E373)</f>
        <v>0.730267246737104</v>
      </c>
      <c r="H373" s="27" t="n">
        <v>6758.36</v>
      </c>
      <c r="I373" s="27" t="n">
        <v>4935</v>
      </c>
      <c r="J373" s="27" t="n">
        <v>4935</v>
      </c>
      <c r="K373" s="11" t="n">
        <f aca="false">IF(I373=0,"",J373/I373)</f>
        <v>1</v>
      </c>
    </row>
    <row r="374" customFormat="false" ht="15" hidden="false" customHeight="false" outlineLevel="0" collapsed="false">
      <c r="A374" s="13" t="s">
        <v>83</v>
      </c>
      <c r="B374" s="13" t="s">
        <v>58</v>
      </c>
      <c r="C374" s="13" t="s">
        <v>101</v>
      </c>
      <c r="D374" s="9" t="n">
        <v>45839</v>
      </c>
      <c r="E374" s="26" t="n">
        <v>14.84</v>
      </c>
      <c r="F374" s="26" t="n">
        <v>8.4</v>
      </c>
      <c r="G374" s="11" t="n">
        <f aca="false">IF(E374=0,"",F374/E374)</f>
        <v>0.566037735849057</v>
      </c>
      <c r="H374" s="27" t="n">
        <v>4081.79</v>
      </c>
      <c r="I374" s="27" t="n">
        <v>2310</v>
      </c>
      <c r="J374" s="27" t="n">
        <v>2310</v>
      </c>
      <c r="K374" s="11" t="n">
        <f aca="false">IF(I374=0,"",J374/I374)</f>
        <v>1</v>
      </c>
    </row>
    <row r="375" customFormat="false" ht="15" hidden="false" customHeight="false" outlineLevel="0" collapsed="false">
      <c r="A375" s="13" t="s">
        <v>83</v>
      </c>
      <c r="B375" s="13" t="s">
        <v>58</v>
      </c>
      <c r="C375" s="13" t="s">
        <v>102</v>
      </c>
      <c r="D375" s="9" t="n">
        <v>45839</v>
      </c>
      <c r="E375" s="26" t="n">
        <v>5.27</v>
      </c>
      <c r="F375" s="26" t="n">
        <v>4.6</v>
      </c>
      <c r="G375" s="11" t="n">
        <f aca="false">IF(E375=0,"",F375/E375)</f>
        <v>0.872865275142315</v>
      </c>
      <c r="H375" s="27" t="n">
        <v>2029.45</v>
      </c>
      <c r="I375" s="27" t="n">
        <v>1771</v>
      </c>
      <c r="J375" s="27" t="n">
        <v>1771</v>
      </c>
      <c r="K375" s="11" t="n">
        <f aca="false">IF(I375=0,"",J375/I375)</f>
        <v>1</v>
      </c>
    </row>
    <row r="376" customFormat="false" ht="15" hidden="false" customHeight="false" outlineLevel="0" collapsed="false">
      <c r="A376" s="13" t="s">
        <v>83</v>
      </c>
      <c r="B376" s="13" t="s">
        <v>58</v>
      </c>
      <c r="C376" s="13" t="s">
        <v>99</v>
      </c>
      <c r="D376" s="9" t="n">
        <v>45870</v>
      </c>
      <c r="E376" s="26" t="n">
        <v>15.03</v>
      </c>
      <c r="F376" s="26" t="n">
        <v>8.8</v>
      </c>
      <c r="G376" s="11" t="n">
        <f aca="false">IF(E376=0,"",F376/E376)</f>
        <v>0.585495675316035</v>
      </c>
      <c r="H376" s="27" t="n">
        <v>2329.67</v>
      </c>
      <c r="I376" s="27" t="n">
        <v>1364</v>
      </c>
      <c r="J376" s="27" t="n">
        <v>1364</v>
      </c>
      <c r="K376" s="11" t="n">
        <f aca="false">IF(I376=0,"",J376/I376)</f>
        <v>1</v>
      </c>
    </row>
    <row r="377" customFormat="false" ht="15" hidden="false" customHeight="false" outlineLevel="0" collapsed="false">
      <c r="A377" s="13" t="s">
        <v>83</v>
      </c>
      <c r="B377" s="13" t="s">
        <v>58</v>
      </c>
      <c r="C377" s="13" t="s">
        <v>100</v>
      </c>
      <c r="D377" s="9" t="n">
        <v>45870</v>
      </c>
      <c r="E377" s="26" t="n">
        <v>17.7</v>
      </c>
      <c r="F377" s="26" t="n">
        <v>15.6</v>
      </c>
      <c r="G377" s="11" t="n">
        <f aca="false">IF(E377=0,"",F377/E377)</f>
        <v>0.88135593220339</v>
      </c>
      <c r="H377" s="27" t="n">
        <v>3717.1</v>
      </c>
      <c r="I377" s="27" t="n">
        <v>3276</v>
      </c>
      <c r="J377" s="27" t="n">
        <v>3276</v>
      </c>
      <c r="K377" s="11" t="n">
        <f aca="false">IF(I377=0,"",J377/I377)</f>
        <v>1</v>
      </c>
    </row>
    <row r="378" customFormat="false" ht="15" hidden="false" customHeight="false" outlineLevel="0" collapsed="false">
      <c r="A378" s="13" t="s">
        <v>83</v>
      </c>
      <c r="B378" s="13" t="s">
        <v>58</v>
      </c>
      <c r="C378" s="13" t="s">
        <v>101</v>
      </c>
      <c r="D378" s="9" t="n">
        <v>45870</v>
      </c>
      <c r="E378" s="26" t="n">
        <v>8.16</v>
      </c>
      <c r="F378" s="26" t="n">
        <v>6.5</v>
      </c>
      <c r="G378" s="11" t="n">
        <f aca="false">IF(E378=0,"",F378/E378)</f>
        <v>0.79656862745098</v>
      </c>
      <c r="H378" s="27" t="n">
        <v>2244.98</v>
      </c>
      <c r="I378" s="27" t="n">
        <v>1787.5</v>
      </c>
      <c r="J378" s="27" t="n">
        <v>1787.5</v>
      </c>
      <c r="K378" s="11" t="n">
        <f aca="false">IF(I378=0,"",J378/I378)</f>
        <v>1</v>
      </c>
    </row>
    <row r="379" customFormat="false" ht="15" hidden="false" customHeight="false" outlineLevel="0" collapsed="false">
      <c r="A379" s="13" t="s">
        <v>83</v>
      </c>
      <c r="B379" s="13" t="s">
        <v>58</v>
      </c>
      <c r="C379" s="13" t="s">
        <v>102</v>
      </c>
      <c r="D379" s="9" t="n">
        <v>45870</v>
      </c>
      <c r="E379" s="26" t="n">
        <v>2.9</v>
      </c>
      <c r="F379" s="26" t="n">
        <v>2.6</v>
      </c>
      <c r="G379" s="11" t="n">
        <f aca="false">IF(E379=0,"",F379/E379)</f>
        <v>0.896551724137931</v>
      </c>
      <c r="H379" s="27" t="n">
        <v>1116.2</v>
      </c>
      <c r="I379" s="27" t="n">
        <v>1001</v>
      </c>
      <c r="J379" s="27" t="n">
        <v>1001</v>
      </c>
      <c r="K379" s="11" t="n">
        <f aca="false">IF(I379=0,"",J379/I379)</f>
        <v>1</v>
      </c>
    </row>
    <row r="380" customFormat="false" ht="15" hidden="false" customHeight="false" outlineLevel="0" collapsed="false">
      <c r="A380" s="13" t="s">
        <v>85</v>
      </c>
      <c r="B380" s="13" t="s">
        <v>61</v>
      </c>
      <c r="C380" s="13" t="s">
        <v>99</v>
      </c>
      <c r="D380" s="9" t="n">
        <v>45627</v>
      </c>
      <c r="E380" s="26" t="n">
        <v>27.88</v>
      </c>
      <c r="F380" s="26" t="n">
        <v>36.6</v>
      </c>
      <c r="G380" s="11" t="n">
        <f aca="false">IF(E380=0,"",F380/E380)</f>
        <v>1.31276901004304</v>
      </c>
      <c r="H380" s="27" t="n">
        <v>4321.12</v>
      </c>
      <c r="I380" s="27" t="n">
        <v>5673</v>
      </c>
      <c r="J380" s="27" t="n">
        <v>5673</v>
      </c>
      <c r="K380" s="11" t="n">
        <f aca="false">IF(I380=0,"",J380/I380)</f>
        <v>1</v>
      </c>
    </row>
    <row r="381" customFormat="false" ht="15" hidden="false" customHeight="false" outlineLevel="0" collapsed="false">
      <c r="A381" s="13" t="s">
        <v>85</v>
      </c>
      <c r="B381" s="13" t="s">
        <v>61</v>
      </c>
      <c r="C381" s="13" t="s">
        <v>100</v>
      </c>
      <c r="D381" s="9" t="n">
        <v>45627</v>
      </c>
      <c r="E381" s="26" t="n">
        <v>35.7</v>
      </c>
      <c r="F381" s="26" t="n">
        <v>50</v>
      </c>
      <c r="G381" s="11" t="n">
        <f aca="false">IF(E381=0,"",F381/E381)</f>
        <v>1.40056022408964</v>
      </c>
      <c r="H381" s="27" t="n">
        <v>7497.63</v>
      </c>
      <c r="I381" s="27" t="n">
        <v>10500</v>
      </c>
      <c r="J381" s="27" t="n">
        <v>10500</v>
      </c>
      <c r="K381" s="11" t="n">
        <f aca="false">IF(I381=0,"",J381/I381)</f>
        <v>1</v>
      </c>
    </row>
    <row r="382" customFormat="false" ht="15" hidden="false" customHeight="false" outlineLevel="0" collapsed="false">
      <c r="A382" s="13" t="s">
        <v>85</v>
      </c>
      <c r="B382" s="13" t="s">
        <v>61</v>
      </c>
      <c r="C382" s="13" t="s">
        <v>101</v>
      </c>
      <c r="D382" s="9" t="n">
        <v>45627</v>
      </c>
      <c r="E382" s="26" t="n">
        <v>11.03</v>
      </c>
      <c r="F382" s="26" t="n">
        <v>11.3</v>
      </c>
      <c r="G382" s="11" t="n">
        <f aca="false">IF(E382=0,"",F382/E382)</f>
        <v>1.02447869446963</v>
      </c>
      <c r="H382" s="27" t="n">
        <v>3032.57</v>
      </c>
      <c r="I382" s="27" t="n">
        <v>3107.5</v>
      </c>
      <c r="J382" s="27" t="n">
        <v>3107.5</v>
      </c>
      <c r="K382" s="11" t="n">
        <f aca="false">IF(I382=0,"",J382/I382)</f>
        <v>1</v>
      </c>
    </row>
    <row r="383" customFormat="false" ht="15" hidden="false" customHeight="false" outlineLevel="0" collapsed="false">
      <c r="A383" s="13" t="s">
        <v>85</v>
      </c>
      <c r="B383" s="13" t="s">
        <v>61</v>
      </c>
      <c r="C383" s="13" t="s">
        <v>102</v>
      </c>
      <c r="D383" s="9" t="n">
        <v>45627</v>
      </c>
      <c r="E383" s="26" t="n">
        <v>3.71</v>
      </c>
      <c r="F383" s="26" t="n">
        <v>6.4</v>
      </c>
      <c r="G383" s="11" t="n">
        <f aca="false">IF(E383=0,"",F383/E383)</f>
        <v>1.72506738544474</v>
      </c>
      <c r="H383" s="27" t="n">
        <v>1429.21</v>
      </c>
      <c r="I383" s="27" t="n">
        <v>2464</v>
      </c>
      <c r="J383" s="27" t="n">
        <v>2464</v>
      </c>
      <c r="K383" s="11" t="n">
        <f aca="false">IF(I383=0,"",J383/I383)</f>
        <v>1</v>
      </c>
    </row>
    <row r="384" customFormat="false" ht="15" hidden="false" customHeight="false" outlineLevel="0" collapsed="false">
      <c r="A384" s="13" t="s">
        <v>85</v>
      </c>
      <c r="B384" s="13" t="s">
        <v>61</v>
      </c>
      <c r="C384" s="13" t="s">
        <v>99</v>
      </c>
      <c r="D384" s="9" t="n">
        <v>45658</v>
      </c>
      <c r="E384" s="26" t="n">
        <v>38.8</v>
      </c>
      <c r="F384" s="26" t="n">
        <v>57.7</v>
      </c>
      <c r="G384" s="11" t="n">
        <f aca="false">IF(E384=0,"",F384/E384)</f>
        <v>1.48711340206186</v>
      </c>
      <c r="H384" s="27" t="n">
        <v>6013.3</v>
      </c>
      <c r="I384" s="27" t="n">
        <v>8943.5</v>
      </c>
      <c r="J384" s="27" t="n">
        <v>8943.5</v>
      </c>
      <c r="K384" s="11" t="n">
        <f aca="false">IF(I384=0,"",J384/I384)</f>
        <v>1</v>
      </c>
    </row>
    <row r="385" customFormat="false" ht="15" hidden="false" customHeight="false" outlineLevel="0" collapsed="false">
      <c r="A385" s="13" t="s">
        <v>85</v>
      </c>
      <c r="B385" s="13" t="s">
        <v>61</v>
      </c>
      <c r="C385" s="13" t="s">
        <v>100</v>
      </c>
      <c r="D385" s="9" t="n">
        <v>45658</v>
      </c>
      <c r="E385" s="26" t="n">
        <v>49.68</v>
      </c>
      <c r="F385" s="26" t="n">
        <v>67.7</v>
      </c>
      <c r="G385" s="11" t="n">
        <f aca="false">IF(E385=0,"",F385/E385)</f>
        <v>1.36272141706924</v>
      </c>
      <c r="H385" s="27" t="n">
        <v>10433.76</v>
      </c>
      <c r="I385" s="27" t="n">
        <v>14217</v>
      </c>
      <c r="J385" s="27" t="n">
        <v>14217</v>
      </c>
      <c r="K385" s="11" t="n">
        <f aca="false">IF(I385=0,"",J385/I385)</f>
        <v>1</v>
      </c>
    </row>
    <row r="386" customFormat="false" ht="15" hidden="false" customHeight="false" outlineLevel="0" collapsed="false">
      <c r="A386" s="13" t="s">
        <v>85</v>
      </c>
      <c r="B386" s="13" t="s">
        <v>61</v>
      </c>
      <c r="C386" s="13" t="s">
        <v>101</v>
      </c>
      <c r="D386" s="9" t="n">
        <v>45658</v>
      </c>
      <c r="E386" s="26" t="n">
        <v>15.35</v>
      </c>
      <c r="F386" s="26" t="n">
        <v>15.9</v>
      </c>
      <c r="G386" s="11" t="n">
        <f aca="false">IF(E386=0,"",F386/E386)</f>
        <v>1.03583061889251</v>
      </c>
      <c r="H386" s="27" t="n">
        <v>4220.15</v>
      </c>
      <c r="I386" s="27" t="n">
        <v>4372.5</v>
      </c>
      <c r="J386" s="27" t="n">
        <v>4372.5</v>
      </c>
      <c r="K386" s="11" t="n">
        <f aca="false">IF(I386=0,"",J386/I386)</f>
        <v>1</v>
      </c>
    </row>
    <row r="387" customFormat="false" ht="15" hidden="false" customHeight="false" outlineLevel="0" collapsed="false">
      <c r="A387" s="13" t="s">
        <v>85</v>
      </c>
      <c r="B387" s="13" t="s">
        <v>61</v>
      </c>
      <c r="C387" s="13" t="s">
        <v>102</v>
      </c>
      <c r="D387" s="9" t="n">
        <v>45658</v>
      </c>
      <c r="E387" s="26" t="n">
        <v>5.17</v>
      </c>
      <c r="F387" s="26" t="n">
        <v>10.4</v>
      </c>
      <c r="G387" s="11" t="n">
        <f aca="false">IF(E387=0,"",F387/E387)</f>
        <v>2.01160541586074</v>
      </c>
      <c r="H387" s="27" t="n">
        <v>1988.9</v>
      </c>
      <c r="I387" s="27" t="n">
        <v>4004</v>
      </c>
      <c r="J387" s="27" t="n">
        <v>4004</v>
      </c>
      <c r="K387" s="11" t="n">
        <f aca="false">IF(I387=0,"",J387/I387)</f>
        <v>1</v>
      </c>
    </row>
    <row r="388" customFormat="false" ht="15" hidden="false" customHeight="false" outlineLevel="0" collapsed="false">
      <c r="A388" s="13" t="s">
        <v>85</v>
      </c>
      <c r="B388" s="13" t="s">
        <v>61</v>
      </c>
      <c r="C388" s="13" t="s">
        <v>99</v>
      </c>
      <c r="D388" s="9" t="n">
        <v>45689</v>
      </c>
      <c r="E388" s="26" t="n">
        <v>49.08</v>
      </c>
      <c r="F388" s="26" t="n">
        <v>87.3</v>
      </c>
      <c r="G388" s="11" t="n">
        <f aca="false">IF(E388=0,"",F388/E388)</f>
        <v>1.77872860635697</v>
      </c>
      <c r="H388" s="27" t="n">
        <v>7607.14</v>
      </c>
      <c r="I388" s="27" t="n">
        <v>13531.5</v>
      </c>
      <c r="J388" s="27" t="n">
        <v>13531.5</v>
      </c>
      <c r="K388" s="11" t="n">
        <f aca="false">IF(I388=0,"",J388/I388)</f>
        <v>1</v>
      </c>
    </row>
    <row r="389" customFormat="false" ht="15" hidden="false" customHeight="false" outlineLevel="0" collapsed="false">
      <c r="A389" s="13" t="s">
        <v>85</v>
      </c>
      <c r="B389" s="13" t="s">
        <v>61</v>
      </c>
      <c r="C389" s="13" t="s">
        <v>100</v>
      </c>
      <c r="D389" s="9" t="n">
        <v>45689</v>
      </c>
      <c r="E389" s="26" t="n">
        <v>62.85</v>
      </c>
      <c r="F389" s="26" t="n">
        <v>111.7</v>
      </c>
      <c r="G389" s="11" t="n">
        <f aca="false">IF(E389=0,"",F389/E389)</f>
        <v>1.77724741447892</v>
      </c>
      <c r="H389" s="27" t="n">
        <v>13199.26</v>
      </c>
      <c r="I389" s="27" t="n">
        <v>23457</v>
      </c>
      <c r="J389" s="27" t="n">
        <v>23457</v>
      </c>
      <c r="K389" s="11" t="n">
        <f aca="false">IF(I389=0,"",J389/I389)</f>
        <v>1</v>
      </c>
    </row>
    <row r="390" customFormat="false" ht="15" hidden="false" customHeight="false" outlineLevel="0" collapsed="false">
      <c r="A390" s="13" t="s">
        <v>85</v>
      </c>
      <c r="B390" s="13" t="s">
        <v>61</v>
      </c>
      <c r="C390" s="13" t="s">
        <v>101</v>
      </c>
      <c r="D390" s="9" t="n">
        <v>45689</v>
      </c>
      <c r="E390" s="26" t="n">
        <v>19.41</v>
      </c>
      <c r="F390" s="26" t="n">
        <v>39</v>
      </c>
      <c r="G390" s="11" t="n">
        <f aca="false">IF(E390=0,"",F390/E390)</f>
        <v>2.00927357032458</v>
      </c>
      <c r="H390" s="27" t="n">
        <v>5338.71</v>
      </c>
      <c r="I390" s="27" t="n">
        <v>10725</v>
      </c>
      <c r="J390" s="27" t="n">
        <v>10725</v>
      </c>
      <c r="K390" s="11" t="n">
        <f aca="false">IF(I390=0,"",J390/I390)</f>
        <v>1</v>
      </c>
    </row>
    <row r="391" customFormat="false" ht="15" hidden="false" customHeight="false" outlineLevel="0" collapsed="false">
      <c r="A391" s="13" t="s">
        <v>85</v>
      </c>
      <c r="B391" s="13" t="s">
        <v>61</v>
      </c>
      <c r="C391" s="13" t="s">
        <v>102</v>
      </c>
      <c r="D391" s="9" t="n">
        <v>45689</v>
      </c>
      <c r="E391" s="26" t="n">
        <v>6.54</v>
      </c>
      <c r="F391" s="26" t="n">
        <v>10.9</v>
      </c>
      <c r="G391" s="11" t="n">
        <f aca="false">IF(E391=0,"",F391/E391)</f>
        <v>1.66666666666667</v>
      </c>
      <c r="H391" s="27" t="n">
        <v>2516.07</v>
      </c>
      <c r="I391" s="27" t="n">
        <v>4196.5</v>
      </c>
      <c r="J391" s="27" t="n">
        <v>4196.5</v>
      </c>
      <c r="K391" s="11" t="n">
        <f aca="false">IF(I391=0,"",J391/I391)</f>
        <v>1</v>
      </c>
    </row>
    <row r="392" customFormat="false" ht="15" hidden="false" customHeight="false" outlineLevel="0" collapsed="false">
      <c r="A392" s="13" t="s">
        <v>85</v>
      </c>
      <c r="B392" s="13" t="s">
        <v>61</v>
      </c>
      <c r="C392" s="13" t="s">
        <v>99</v>
      </c>
      <c r="D392" s="9" t="n">
        <v>45717</v>
      </c>
      <c r="E392" s="26" t="n">
        <v>58.13</v>
      </c>
      <c r="F392" s="26" t="n">
        <v>115.8</v>
      </c>
      <c r="G392" s="11" t="n">
        <f aca="false">IF(E392=0,"",F392/E392)</f>
        <v>1.99208670221916</v>
      </c>
      <c r="H392" s="27" t="n">
        <v>9010.01</v>
      </c>
      <c r="I392" s="27" t="n">
        <v>17949</v>
      </c>
      <c r="J392" s="27" t="n">
        <v>17949</v>
      </c>
      <c r="K392" s="11" t="n">
        <f aca="false">IF(I392=0,"",J392/I392)</f>
        <v>1</v>
      </c>
    </row>
    <row r="393" customFormat="false" ht="15" hidden="false" customHeight="false" outlineLevel="0" collapsed="false">
      <c r="A393" s="13" t="s">
        <v>85</v>
      </c>
      <c r="B393" s="13" t="s">
        <v>61</v>
      </c>
      <c r="C393" s="13" t="s">
        <v>100</v>
      </c>
      <c r="D393" s="9" t="n">
        <v>45717</v>
      </c>
      <c r="E393" s="26" t="n">
        <v>74.44</v>
      </c>
      <c r="F393" s="26" t="n">
        <v>132.8</v>
      </c>
      <c r="G393" s="11" t="n">
        <f aca="false">IF(E393=0,"",F393/E393)</f>
        <v>1.78398710370768</v>
      </c>
      <c r="H393" s="27" t="n">
        <v>15633.39</v>
      </c>
      <c r="I393" s="27" t="n">
        <v>27888</v>
      </c>
      <c r="J393" s="27" t="n">
        <v>28815.5</v>
      </c>
      <c r="K393" s="11" t="n">
        <f aca="false">IF(I393=0,"",J393/I393)</f>
        <v>1.03325803212851</v>
      </c>
    </row>
    <row r="394" customFormat="false" ht="15" hidden="false" customHeight="false" outlineLevel="0" collapsed="false">
      <c r="A394" s="13" t="s">
        <v>85</v>
      </c>
      <c r="B394" s="13" t="s">
        <v>61</v>
      </c>
      <c r="C394" s="13" t="s">
        <v>101</v>
      </c>
      <c r="D394" s="9" t="n">
        <v>45717</v>
      </c>
      <c r="E394" s="26" t="n">
        <v>22.99</v>
      </c>
      <c r="F394" s="26" t="n">
        <v>38.6</v>
      </c>
      <c r="G394" s="11" t="n">
        <f aca="false">IF(E394=0,"",F394/E394)</f>
        <v>1.67899086559374</v>
      </c>
      <c r="H394" s="27" t="n">
        <v>6323.25</v>
      </c>
      <c r="I394" s="27" t="n">
        <v>10615</v>
      </c>
      <c r="J394" s="27" t="n">
        <v>10615</v>
      </c>
      <c r="K394" s="11" t="n">
        <f aca="false">IF(I394=0,"",J394/I394)</f>
        <v>1</v>
      </c>
    </row>
    <row r="395" customFormat="false" ht="15" hidden="false" customHeight="false" outlineLevel="0" collapsed="false">
      <c r="A395" s="13" t="s">
        <v>85</v>
      </c>
      <c r="B395" s="13" t="s">
        <v>61</v>
      </c>
      <c r="C395" s="13" t="s">
        <v>102</v>
      </c>
      <c r="D395" s="9" t="n">
        <v>45717</v>
      </c>
      <c r="E395" s="26" t="n">
        <v>7.74</v>
      </c>
      <c r="F395" s="26" t="n">
        <v>14.9</v>
      </c>
      <c r="G395" s="11" t="n">
        <f aca="false">IF(E395=0,"",F395/E395)</f>
        <v>1.9250645994832</v>
      </c>
      <c r="H395" s="27" t="n">
        <v>2980.07</v>
      </c>
      <c r="I395" s="27" t="n">
        <v>5736.5</v>
      </c>
      <c r="J395" s="27" t="n">
        <v>5736.5</v>
      </c>
      <c r="K395" s="11" t="n">
        <f aca="false">IF(I395=0,"",J395/I395)</f>
        <v>1</v>
      </c>
    </row>
    <row r="396" customFormat="false" ht="15" hidden="false" customHeight="false" outlineLevel="0" collapsed="false">
      <c r="A396" s="13" t="s">
        <v>85</v>
      </c>
      <c r="B396" s="13" t="s">
        <v>61</v>
      </c>
      <c r="C396" s="13" t="s">
        <v>99</v>
      </c>
      <c r="D396" s="9" t="n">
        <v>45748</v>
      </c>
      <c r="E396" s="26" t="n">
        <v>65.42</v>
      </c>
      <c r="F396" s="26" t="n">
        <v>107.6</v>
      </c>
      <c r="G396" s="11" t="n">
        <f aca="false">IF(E396=0,"",F396/E396)</f>
        <v>1.64475695505961</v>
      </c>
      <c r="H396" s="27" t="n">
        <v>10140.38</v>
      </c>
      <c r="I396" s="27" t="n">
        <v>16678</v>
      </c>
      <c r="J396" s="27" t="n">
        <v>16678</v>
      </c>
      <c r="K396" s="11" t="n">
        <f aca="false">IF(I396=0,"",J396/I396)</f>
        <v>1</v>
      </c>
    </row>
    <row r="397" customFormat="false" ht="15" hidden="false" customHeight="false" outlineLevel="0" collapsed="false">
      <c r="A397" s="13" t="s">
        <v>85</v>
      </c>
      <c r="B397" s="13" t="s">
        <v>61</v>
      </c>
      <c r="C397" s="13" t="s">
        <v>100</v>
      </c>
      <c r="D397" s="9" t="n">
        <v>45748</v>
      </c>
      <c r="E397" s="26" t="n">
        <v>83.78</v>
      </c>
      <c r="F397" s="26" t="n">
        <v>123.2</v>
      </c>
      <c r="G397" s="11" t="n">
        <f aca="false">IF(E397=0,"",F397/E397)</f>
        <v>1.47051802339461</v>
      </c>
      <c r="H397" s="27" t="n">
        <v>17594.7</v>
      </c>
      <c r="I397" s="27" t="n">
        <v>25872</v>
      </c>
      <c r="J397" s="27" t="n">
        <v>25542</v>
      </c>
      <c r="K397" s="11" t="n">
        <f aca="false">IF(I397=0,"",J397/I397)</f>
        <v>0.987244897959184</v>
      </c>
    </row>
    <row r="398" customFormat="false" ht="15" hidden="false" customHeight="false" outlineLevel="0" collapsed="false">
      <c r="A398" s="13" t="s">
        <v>85</v>
      </c>
      <c r="B398" s="13" t="s">
        <v>61</v>
      </c>
      <c r="C398" s="13" t="s">
        <v>101</v>
      </c>
      <c r="D398" s="9" t="n">
        <v>45748</v>
      </c>
      <c r="E398" s="26" t="n">
        <v>25.88</v>
      </c>
      <c r="F398" s="26" t="n">
        <v>42.8</v>
      </c>
      <c r="G398" s="11" t="n">
        <f aca="false">IF(E398=0,"",F398/E398)</f>
        <v>1.65378670788253</v>
      </c>
      <c r="H398" s="27" t="n">
        <v>7116.54</v>
      </c>
      <c r="I398" s="27" t="n">
        <v>11770</v>
      </c>
      <c r="J398" s="27" t="n">
        <v>11770</v>
      </c>
      <c r="K398" s="11" t="n">
        <f aca="false">IF(I398=0,"",J398/I398)</f>
        <v>1</v>
      </c>
    </row>
    <row r="399" customFormat="false" ht="15" hidden="false" customHeight="false" outlineLevel="0" collapsed="false">
      <c r="A399" s="13" t="s">
        <v>85</v>
      </c>
      <c r="B399" s="13" t="s">
        <v>61</v>
      </c>
      <c r="C399" s="13" t="s">
        <v>102</v>
      </c>
      <c r="D399" s="9" t="n">
        <v>45748</v>
      </c>
      <c r="E399" s="26" t="n">
        <v>8.71</v>
      </c>
      <c r="F399" s="26" t="n">
        <v>12.8</v>
      </c>
      <c r="G399" s="11" t="n">
        <f aca="false">IF(E399=0,"",F399/E399)</f>
        <v>1.46957520091848</v>
      </c>
      <c r="H399" s="27" t="n">
        <v>3353.93</v>
      </c>
      <c r="I399" s="27" t="n">
        <v>4928</v>
      </c>
      <c r="J399" s="27" t="n">
        <v>4928</v>
      </c>
      <c r="K399" s="11" t="n">
        <f aca="false">IF(I399=0,"",J399/I399)</f>
        <v>1</v>
      </c>
    </row>
    <row r="400" customFormat="false" ht="15" hidden="false" customHeight="false" outlineLevel="0" collapsed="false">
      <c r="A400" s="13" t="s">
        <v>85</v>
      </c>
      <c r="B400" s="13" t="s">
        <v>61</v>
      </c>
      <c r="C400" s="13" t="s">
        <v>99</v>
      </c>
      <c r="D400" s="9" t="n">
        <v>45778</v>
      </c>
      <c r="E400" s="26" t="n">
        <v>70.53</v>
      </c>
      <c r="F400" s="26" t="n">
        <v>107.2</v>
      </c>
      <c r="G400" s="11" t="n">
        <f aca="false">IF(E400=0,"",F400/E400)</f>
        <v>1.51992060116263</v>
      </c>
      <c r="H400" s="27" t="n">
        <v>10932.55</v>
      </c>
      <c r="I400" s="27" t="n">
        <v>16616</v>
      </c>
      <c r="J400" s="27" t="n">
        <v>16616</v>
      </c>
      <c r="K400" s="11" t="n">
        <f aca="false">IF(I400=0,"",J400/I400)</f>
        <v>1</v>
      </c>
    </row>
    <row r="401" customFormat="false" ht="15" hidden="false" customHeight="false" outlineLevel="0" collapsed="false">
      <c r="A401" s="13" t="s">
        <v>85</v>
      </c>
      <c r="B401" s="13" t="s">
        <v>61</v>
      </c>
      <c r="C401" s="13" t="s">
        <v>100</v>
      </c>
      <c r="D401" s="9" t="n">
        <v>45778</v>
      </c>
      <c r="E401" s="26" t="n">
        <v>90.33</v>
      </c>
      <c r="F401" s="26" t="n">
        <v>135.5</v>
      </c>
      <c r="G401" s="11" t="n">
        <f aca="false">IF(E401=0,"",F401/E401)</f>
        <v>1.50005535259604</v>
      </c>
      <c r="H401" s="27" t="n">
        <v>18969.21</v>
      </c>
      <c r="I401" s="27" t="n">
        <v>28455</v>
      </c>
      <c r="J401" s="27" t="n">
        <v>28455</v>
      </c>
      <c r="K401" s="11" t="n">
        <f aca="false">IF(I401=0,"",J401/I401)</f>
        <v>1</v>
      </c>
    </row>
    <row r="402" customFormat="false" ht="15" hidden="false" customHeight="false" outlineLevel="0" collapsed="false">
      <c r="A402" s="13" t="s">
        <v>85</v>
      </c>
      <c r="B402" s="13" t="s">
        <v>61</v>
      </c>
      <c r="C402" s="13" t="s">
        <v>101</v>
      </c>
      <c r="D402" s="9" t="n">
        <v>45778</v>
      </c>
      <c r="E402" s="26" t="n">
        <v>27.9</v>
      </c>
      <c r="F402" s="26" t="n">
        <v>38.5</v>
      </c>
      <c r="G402" s="11" t="n">
        <f aca="false">IF(E402=0,"",F402/E402)</f>
        <v>1.37992831541219</v>
      </c>
      <c r="H402" s="27" t="n">
        <v>7672.49</v>
      </c>
      <c r="I402" s="27" t="n">
        <v>10587.5</v>
      </c>
      <c r="J402" s="27" t="n">
        <v>10587.5</v>
      </c>
      <c r="K402" s="11" t="n">
        <f aca="false">IF(I402=0,"",J402/I402)</f>
        <v>1</v>
      </c>
    </row>
    <row r="403" customFormat="false" ht="15" hidden="false" customHeight="false" outlineLevel="0" collapsed="false">
      <c r="A403" s="13" t="s">
        <v>85</v>
      </c>
      <c r="B403" s="13" t="s">
        <v>61</v>
      </c>
      <c r="C403" s="13" t="s">
        <v>102</v>
      </c>
      <c r="D403" s="9" t="n">
        <v>45778</v>
      </c>
      <c r="E403" s="26" t="n">
        <v>9.39</v>
      </c>
      <c r="F403" s="26" t="n">
        <v>16.1</v>
      </c>
      <c r="G403" s="11" t="n">
        <f aca="false">IF(E403=0,"",F403/E403)</f>
        <v>1.71458998935037</v>
      </c>
      <c r="H403" s="27" t="n">
        <v>3615.95</v>
      </c>
      <c r="I403" s="27" t="n">
        <v>6198.5</v>
      </c>
      <c r="J403" s="27" t="n">
        <v>6198.5</v>
      </c>
      <c r="K403" s="11" t="n">
        <f aca="false">IF(I403=0,"",J403/I403)</f>
        <v>1</v>
      </c>
    </row>
    <row r="404" customFormat="false" ht="15" hidden="false" customHeight="false" outlineLevel="0" collapsed="false">
      <c r="A404" s="13" t="s">
        <v>85</v>
      </c>
      <c r="B404" s="13" t="s">
        <v>61</v>
      </c>
      <c r="C404" s="13" t="s">
        <v>99</v>
      </c>
      <c r="D404" s="9" t="n">
        <v>45809</v>
      </c>
      <c r="E404" s="26" t="n">
        <v>73.16</v>
      </c>
      <c r="F404" s="26" t="n">
        <v>90.3</v>
      </c>
      <c r="G404" s="11" t="n">
        <f aca="false">IF(E404=0,"",F404/E404)</f>
        <v>1.23428102788409</v>
      </c>
      <c r="H404" s="27" t="n">
        <v>11340.49</v>
      </c>
      <c r="I404" s="27" t="n">
        <v>13996.5</v>
      </c>
      <c r="J404" s="27" t="n">
        <v>13996.5</v>
      </c>
      <c r="K404" s="11" t="n">
        <f aca="false">IF(I404=0,"",J404/I404)</f>
        <v>1</v>
      </c>
    </row>
    <row r="405" customFormat="false" ht="15" hidden="false" customHeight="false" outlineLevel="0" collapsed="false">
      <c r="A405" s="13" t="s">
        <v>85</v>
      </c>
      <c r="B405" s="13" t="s">
        <v>61</v>
      </c>
      <c r="C405" s="13" t="s">
        <v>100</v>
      </c>
      <c r="D405" s="9" t="n">
        <v>45809</v>
      </c>
      <c r="E405" s="26" t="n">
        <v>93.7</v>
      </c>
      <c r="F405" s="26" t="n">
        <v>112.1</v>
      </c>
      <c r="G405" s="11" t="n">
        <f aca="false">IF(E405=0,"",F405/E405)</f>
        <v>1.19637139807898</v>
      </c>
      <c r="H405" s="27" t="n">
        <v>19677.04</v>
      </c>
      <c r="I405" s="27" t="n">
        <v>23541</v>
      </c>
      <c r="J405" s="27" t="n">
        <v>24661</v>
      </c>
      <c r="K405" s="11" t="n">
        <f aca="false">IF(I405=0,"",J405/I405)</f>
        <v>1.04757656853999</v>
      </c>
    </row>
    <row r="406" customFormat="false" ht="15" hidden="false" customHeight="false" outlineLevel="0" collapsed="false">
      <c r="A406" s="13" t="s">
        <v>85</v>
      </c>
      <c r="B406" s="13" t="s">
        <v>61</v>
      </c>
      <c r="C406" s="13" t="s">
        <v>101</v>
      </c>
      <c r="D406" s="9" t="n">
        <v>45809</v>
      </c>
      <c r="E406" s="26" t="n">
        <v>28.94</v>
      </c>
      <c r="F406" s="26" t="n">
        <v>41</v>
      </c>
      <c r="G406" s="11" t="n">
        <f aca="false">IF(E406=0,"",F406/E406)</f>
        <v>1.41672425708362</v>
      </c>
      <c r="H406" s="27" t="n">
        <v>7958.78</v>
      </c>
      <c r="I406" s="27" t="n">
        <v>11275</v>
      </c>
      <c r="J406" s="27" t="n">
        <v>11275</v>
      </c>
      <c r="K406" s="11" t="n">
        <f aca="false">IF(I406=0,"",J406/I406)</f>
        <v>1</v>
      </c>
    </row>
    <row r="407" customFormat="false" ht="15" hidden="false" customHeight="false" outlineLevel="0" collapsed="false">
      <c r="A407" s="13" t="s">
        <v>85</v>
      </c>
      <c r="B407" s="13" t="s">
        <v>61</v>
      </c>
      <c r="C407" s="13" t="s">
        <v>102</v>
      </c>
      <c r="D407" s="9" t="n">
        <v>45809</v>
      </c>
      <c r="E407" s="26" t="n">
        <v>9.74</v>
      </c>
      <c r="F407" s="26" t="n">
        <v>12.1</v>
      </c>
      <c r="G407" s="11" t="n">
        <f aca="false">IF(E407=0,"",F407/E407)</f>
        <v>1.24229979466119</v>
      </c>
      <c r="H407" s="27" t="n">
        <v>3750.87</v>
      </c>
      <c r="I407" s="27" t="n">
        <v>4658.5</v>
      </c>
      <c r="J407" s="27" t="n">
        <v>4658.5</v>
      </c>
      <c r="K407" s="11" t="n">
        <f aca="false">IF(I407=0,"",J407/I407)</f>
        <v>1</v>
      </c>
    </row>
    <row r="408" customFormat="false" ht="15" hidden="false" customHeight="false" outlineLevel="0" collapsed="false">
      <c r="A408" s="13" t="s">
        <v>85</v>
      </c>
      <c r="B408" s="13" t="s">
        <v>61</v>
      </c>
      <c r="C408" s="13" t="s">
        <v>99</v>
      </c>
      <c r="D408" s="9" t="n">
        <v>45839</v>
      </c>
      <c r="E408" s="26" t="n">
        <v>73.16</v>
      </c>
      <c r="F408" s="26" t="n">
        <v>62.8</v>
      </c>
      <c r="G408" s="11" t="n">
        <f aca="false">IF(E408=0,"",F408/E408)</f>
        <v>0.858392564242756</v>
      </c>
      <c r="H408" s="27" t="n">
        <v>11340.49</v>
      </c>
      <c r="I408" s="27" t="n">
        <v>9734</v>
      </c>
      <c r="J408" s="27" t="n">
        <v>9734</v>
      </c>
      <c r="K408" s="11" t="n">
        <f aca="false">IF(I408=0,"",J408/I408)</f>
        <v>1</v>
      </c>
    </row>
    <row r="409" customFormat="false" ht="15" hidden="false" customHeight="false" outlineLevel="0" collapsed="false">
      <c r="A409" s="13" t="s">
        <v>85</v>
      </c>
      <c r="B409" s="13" t="s">
        <v>61</v>
      </c>
      <c r="C409" s="13" t="s">
        <v>100</v>
      </c>
      <c r="D409" s="9" t="n">
        <v>45839</v>
      </c>
      <c r="E409" s="26" t="n">
        <v>93.7</v>
      </c>
      <c r="F409" s="26" t="n">
        <v>74.3</v>
      </c>
      <c r="G409" s="11" t="n">
        <f aca="false">IF(E409=0,"",F409/E409)</f>
        <v>0.792956243329776</v>
      </c>
      <c r="H409" s="27" t="n">
        <v>19677.04</v>
      </c>
      <c r="I409" s="27" t="n">
        <v>15603</v>
      </c>
      <c r="J409" s="27" t="n">
        <v>15603</v>
      </c>
      <c r="K409" s="11" t="n">
        <f aca="false">IF(I409=0,"",J409/I409)</f>
        <v>1</v>
      </c>
    </row>
    <row r="410" customFormat="false" ht="15" hidden="false" customHeight="false" outlineLevel="0" collapsed="false">
      <c r="A410" s="13" t="s">
        <v>85</v>
      </c>
      <c r="B410" s="13" t="s">
        <v>61</v>
      </c>
      <c r="C410" s="13" t="s">
        <v>101</v>
      </c>
      <c r="D410" s="9" t="n">
        <v>45839</v>
      </c>
      <c r="E410" s="26" t="n">
        <v>28.94</v>
      </c>
      <c r="F410" s="26" t="n">
        <v>20.4</v>
      </c>
      <c r="G410" s="11" t="n">
        <f aca="false">IF(E410=0,"",F410/E410)</f>
        <v>0.704906703524533</v>
      </c>
      <c r="H410" s="27" t="n">
        <v>7958.78</v>
      </c>
      <c r="I410" s="27" t="n">
        <v>5610</v>
      </c>
      <c r="J410" s="27" t="n">
        <v>5610</v>
      </c>
      <c r="K410" s="11" t="n">
        <f aca="false">IF(I410=0,"",J410/I410)</f>
        <v>1</v>
      </c>
    </row>
    <row r="411" customFormat="false" ht="15" hidden="false" customHeight="false" outlineLevel="0" collapsed="false">
      <c r="A411" s="13" t="s">
        <v>85</v>
      </c>
      <c r="B411" s="13" t="s">
        <v>61</v>
      </c>
      <c r="C411" s="13" t="s">
        <v>102</v>
      </c>
      <c r="D411" s="9" t="n">
        <v>45839</v>
      </c>
      <c r="E411" s="26" t="n">
        <v>9.74</v>
      </c>
      <c r="F411" s="26" t="n">
        <v>9.7</v>
      </c>
      <c r="G411" s="11" t="n">
        <f aca="false">IF(E411=0,"",F411/E411)</f>
        <v>0.995893223819302</v>
      </c>
      <c r="H411" s="27" t="n">
        <v>3750.87</v>
      </c>
      <c r="I411" s="27" t="n">
        <v>3734.5</v>
      </c>
      <c r="J411" s="27" t="n">
        <v>3734.5</v>
      </c>
      <c r="K411" s="11" t="n">
        <f aca="false">IF(I411=0,"",J411/I411)</f>
        <v>1</v>
      </c>
    </row>
    <row r="412" customFormat="false" ht="15" hidden="false" customHeight="false" outlineLevel="0" collapsed="false">
      <c r="A412" s="13" t="s">
        <v>85</v>
      </c>
      <c r="B412" s="13" t="s">
        <v>61</v>
      </c>
      <c r="C412" s="13" t="s">
        <v>99</v>
      </c>
      <c r="D412" s="9" t="n">
        <v>45870</v>
      </c>
      <c r="E412" s="26" t="n">
        <v>70.53</v>
      </c>
      <c r="F412" s="26" t="n">
        <v>36.7</v>
      </c>
      <c r="G412" s="11" t="n">
        <f aca="false">IF(E412=0,"",F412/E412)</f>
        <v>0.52034595207713</v>
      </c>
      <c r="H412" s="27" t="n">
        <v>10932.55</v>
      </c>
      <c r="I412" s="27" t="n">
        <v>5688.5</v>
      </c>
      <c r="J412" s="27" t="n">
        <v>5688.5</v>
      </c>
      <c r="K412" s="11" t="n">
        <f aca="false">IF(I412=0,"",J412/I412)</f>
        <v>1</v>
      </c>
    </row>
    <row r="413" customFormat="false" ht="15" hidden="false" customHeight="false" outlineLevel="0" collapsed="false">
      <c r="A413" s="13" t="s">
        <v>85</v>
      </c>
      <c r="B413" s="13" t="s">
        <v>61</v>
      </c>
      <c r="C413" s="13" t="s">
        <v>100</v>
      </c>
      <c r="D413" s="9" t="n">
        <v>45870</v>
      </c>
      <c r="E413" s="26" t="n">
        <v>90.33</v>
      </c>
      <c r="F413" s="26" t="n">
        <v>50</v>
      </c>
      <c r="G413" s="11" t="n">
        <f aca="false">IF(E413=0,"",F413/E413)</f>
        <v>0.553525960367541</v>
      </c>
      <c r="H413" s="27" t="n">
        <v>18969.21</v>
      </c>
      <c r="I413" s="27" t="n">
        <v>10500</v>
      </c>
      <c r="J413" s="27" t="n">
        <v>10500</v>
      </c>
      <c r="K413" s="11" t="n">
        <f aca="false">IF(I413=0,"",J413/I413)</f>
        <v>1</v>
      </c>
    </row>
    <row r="414" customFormat="false" ht="15" hidden="false" customHeight="false" outlineLevel="0" collapsed="false">
      <c r="A414" s="13" t="s">
        <v>85</v>
      </c>
      <c r="B414" s="13" t="s">
        <v>61</v>
      </c>
      <c r="C414" s="13" t="s">
        <v>101</v>
      </c>
      <c r="D414" s="9" t="n">
        <v>45870</v>
      </c>
      <c r="E414" s="26" t="n">
        <v>27.9</v>
      </c>
      <c r="F414" s="26" t="n">
        <v>11.8</v>
      </c>
      <c r="G414" s="11" t="n">
        <f aca="false">IF(E414=0,"",F414/E414)</f>
        <v>0.422939068100359</v>
      </c>
      <c r="H414" s="27" t="n">
        <v>7672.49</v>
      </c>
      <c r="I414" s="27" t="n">
        <v>3245</v>
      </c>
      <c r="J414" s="27" t="n">
        <v>3245</v>
      </c>
      <c r="K414" s="11" t="n">
        <f aca="false">IF(I414=0,"",J414/I414)</f>
        <v>1</v>
      </c>
    </row>
    <row r="415" customFormat="false" ht="15" hidden="false" customHeight="false" outlineLevel="0" collapsed="false">
      <c r="A415" s="13" t="s">
        <v>85</v>
      </c>
      <c r="B415" s="13" t="s">
        <v>61</v>
      </c>
      <c r="C415" s="13" t="s">
        <v>102</v>
      </c>
      <c r="D415" s="9" t="n">
        <v>45870</v>
      </c>
      <c r="E415" s="26" t="n">
        <v>9.39</v>
      </c>
      <c r="F415" s="26" t="n">
        <v>5.5</v>
      </c>
      <c r="G415" s="11" t="n">
        <f aca="false">IF(E415=0,"",F415/E415)</f>
        <v>0.585729499467519</v>
      </c>
      <c r="H415" s="27" t="n">
        <v>3615.95</v>
      </c>
      <c r="I415" s="27" t="n">
        <v>2117.5</v>
      </c>
      <c r="J415" s="27" t="n">
        <v>2117.5</v>
      </c>
      <c r="K415" s="11" t="n">
        <f aca="false">IF(I415=0,"",J415/I415)</f>
        <v>1</v>
      </c>
    </row>
    <row r="416" customFormat="false" ht="15" hidden="false" customHeight="false" outlineLevel="0" collapsed="false">
      <c r="A416" s="13" t="s">
        <v>87</v>
      </c>
      <c r="B416" s="13" t="s">
        <v>45</v>
      </c>
      <c r="C416" s="13" t="s">
        <v>99</v>
      </c>
      <c r="D416" s="9" t="n">
        <v>45566</v>
      </c>
      <c r="E416" s="26" t="n">
        <v>25.21</v>
      </c>
      <c r="F416" s="26" t="n">
        <v>18.3</v>
      </c>
      <c r="G416" s="11" t="n">
        <f aca="false">IF(E416=0,"",F416/E416)</f>
        <v>0.725902419674732</v>
      </c>
      <c r="H416" s="27" t="n">
        <v>3907.1</v>
      </c>
      <c r="I416" s="27" t="n">
        <v>2836.5</v>
      </c>
      <c r="J416" s="27" t="n">
        <v>2836.5</v>
      </c>
      <c r="K416" s="11" t="n">
        <f aca="false">IF(I416=0,"",J416/I416)</f>
        <v>1</v>
      </c>
    </row>
    <row r="417" customFormat="false" ht="15" hidden="false" customHeight="false" outlineLevel="0" collapsed="false">
      <c r="A417" s="13" t="s">
        <v>87</v>
      </c>
      <c r="B417" s="13" t="s">
        <v>45</v>
      </c>
      <c r="C417" s="13" t="s">
        <v>100</v>
      </c>
      <c r="D417" s="9" t="n">
        <v>45566</v>
      </c>
      <c r="E417" s="26" t="n">
        <v>32.05</v>
      </c>
      <c r="F417" s="26" t="n">
        <v>23.7</v>
      </c>
      <c r="G417" s="11" t="n">
        <f aca="false">IF(E417=0,"",F417/E417)</f>
        <v>0.739469578783151</v>
      </c>
      <c r="H417" s="27" t="n">
        <v>6731.23</v>
      </c>
      <c r="I417" s="27" t="n">
        <v>4977</v>
      </c>
      <c r="J417" s="27" t="n">
        <v>4977</v>
      </c>
      <c r="K417" s="11" t="n">
        <f aca="false">IF(I417=0,"",J417/I417)</f>
        <v>1</v>
      </c>
    </row>
    <row r="418" customFormat="false" ht="15" hidden="false" customHeight="false" outlineLevel="0" collapsed="false">
      <c r="A418" s="13" t="s">
        <v>87</v>
      </c>
      <c r="B418" s="13" t="s">
        <v>45</v>
      </c>
      <c r="C418" s="13" t="s">
        <v>101</v>
      </c>
      <c r="D418" s="9" t="n">
        <v>45566</v>
      </c>
      <c r="E418" s="26" t="n">
        <v>10.79</v>
      </c>
      <c r="F418" s="26" t="n">
        <v>10.8</v>
      </c>
      <c r="G418" s="11" t="n">
        <f aca="false">IF(E418=0,"",F418/E418)</f>
        <v>1.00092678405931</v>
      </c>
      <c r="H418" s="27" t="n">
        <v>2966.76</v>
      </c>
      <c r="I418" s="27" t="n">
        <v>2970</v>
      </c>
      <c r="J418" s="27" t="n">
        <v>2970</v>
      </c>
      <c r="K418" s="11" t="n">
        <f aca="false">IF(I418=0,"",J418/I418)</f>
        <v>1</v>
      </c>
    </row>
    <row r="419" customFormat="false" ht="15" hidden="false" customHeight="false" outlineLevel="0" collapsed="false">
      <c r="A419" s="13" t="s">
        <v>87</v>
      </c>
      <c r="B419" s="13" t="s">
        <v>45</v>
      </c>
      <c r="C419" s="13" t="s">
        <v>102</v>
      </c>
      <c r="D419" s="9" t="n">
        <v>45566</v>
      </c>
      <c r="E419" s="26" t="n">
        <v>4.51</v>
      </c>
      <c r="F419" s="26" t="n">
        <v>4.5</v>
      </c>
      <c r="G419" s="11" t="n">
        <f aca="false">IF(E419=0,"",F419/E419)</f>
        <v>0.997782705099778</v>
      </c>
      <c r="H419" s="27" t="n">
        <v>1737.27</v>
      </c>
      <c r="I419" s="27" t="n">
        <v>1732.5</v>
      </c>
      <c r="J419" s="27" t="n">
        <v>1732.5</v>
      </c>
      <c r="K419" s="11" t="n">
        <f aca="false">IF(I419=0,"",J419/I419)</f>
        <v>1</v>
      </c>
    </row>
    <row r="420" customFormat="false" ht="15" hidden="false" customHeight="false" outlineLevel="0" collapsed="false">
      <c r="A420" s="13" t="s">
        <v>87</v>
      </c>
      <c r="B420" s="13" t="s">
        <v>45</v>
      </c>
      <c r="C420" s="13" t="s">
        <v>99</v>
      </c>
      <c r="D420" s="9" t="n">
        <v>45597</v>
      </c>
      <c r="E420" s="26" t="n">
        <v>39.31</v>
      </c>
      <c r="F420" s="26" t="n">
        <v>29.5</v>
      </c>
      <c r="G420" s="11" t="n">
        <f aca="false">IF(E420=0,"",F420/E420)</f>
        <v>0.750445179343678</v>
      </c>
      <c r="H420" s="27" t="n">
        <v>6093.79</v>
      </c>
      <c r="I420" s="27" t="n">
        <v>4572.5</v>
      </c>
      <c r="J420" s="27" t="n">
        <v>4572.5</v>
      </c>
      <c r="K420" s="11" t="n">
        <f aca="false">IF(I420=0,"",J420/I420)</f>
        <v>1</v>
      </c>
    </row>
    <row r="421" customFormat="false" ht="15" hidden="false" customHeight="false" outlineLevel="0" collapsed="false">
      <c r="A421" s="13" t="s">
        <v>87</v>
      </c>
      <c r="B421" s="13" t="s">
        <v>45</v>
      </c>
      <c r="C421" s="13" t="s">
        <v>100</v>
      </c>
      <c r="D421" s="9" t="n">
        <v>45597</v>
      </c>
      <c r="E421" s="26" t="n">
        <v>49.99</v>
      </c>
      <c r="F421" s="26" t="n">
        <v>40.6</v>
      </c>
      <c r="G421" s="11" t="n">
        <f aca="false">IF(E421=0,"",F421/E421)</f>
        <v>0.812162432486497</v>
      </c>
      <c r="H421" s="27" t="n">
        <v>10498.49</v>
      </c>
      <c r="I421" s="27" t="n">
        <v>8526</v>
      </c>
      <c r="J421" s="27" t="n">
        <v>8526</v>
      </c>
      <c r="K421" s="11" t="n">
        <f aca="false">IF(I421=0,"",J421/I421)</f>
        <v>1</v>
      </c>
    </row>
    <row r="422" customFormat="false" ht="15" hidden="false" customHeight="false" outlineLevel="0" collapsed="false">
      <c r="A422" s="13" t="s">
        <v>87</v>
      </c>
      <c r="B422" s="13" t="s">
        <v>45</v>
      </c>
      <c r="C422" s="13" t="s">
        <v>101</v>
      </c>
      <c r="D422" s="9" t="n">
        <v>45597</v>
      </c>
      <c r="E422" s="26" t="n">
        <v>16.83</v>
      </c>
      <c r="F422" s="26" t="n">
        <v>15.4</v>
      </c>
      <c r="G422" s="11" t="n">
        <f aca="false">IF(E422=0,"",F422/E422)</f>
        <v>0.915032679738562</v>
      </c>
      <c r="H422" s="27" t="n">
        <v>4627.17</v>
      </c>
      <c r="I422" s="27" t="n">
        <v>4235</v>
      </c>
      <c r="J422" s="27" t="n">
        <v>4235</v>
      </c>
      <c r="K422" s="11" t="n">
        <f aca="false">IF(I422=0,"",J422/I422)</f>
        <v>1</v>
      </c>
    </row>
    <row r="423" customFormat="false" ht="15" hidden="false" customHeight="false" outlineLevel="0" collapsed="false">
      <c r="A423" s="13" t="s">
        <v>87</v>
      </c>
      <c r="B423" s="13" t="s">
        <v>45</v>
      </c>
      <c r="C423" s="13" t="s">
        <v>102</v>
      </c>
      <c r="D423" s="9" t="n">
        <v>45597</v>
      </c>
      <c r="E423" s="26" t="n">
        <v>7.04</v>
      </c>
      <c r="F423" s="26" t="n">
        <v>4.5</v>
      </c>
      <c r="G423" s="11" t="n">
        <f aca="false">IF(E423=0,"",F423/E423)</f>
        <v>0.639204545454545</v>
      </c>
      <c r="H423" s="27" t="n">
        <v>2709.56</v>
      </c>
      <c r="I423" s="27" t="n">
        <v>1732.5</v>
      </c>
      <c r="J423" s="27" t="n">
        <v>1732.5</v>
      </c>
      <c r="K423" s="11" t="n">
        <f aca="false">IF(I423=0,"",J423/I423)</f>
        <v>1</v>
      </c>
    </row>
    <row r="424" customFormat="false" ht="15" hidden="false" customHeight="false" outlineLevel="0" collapsed="false">
      <c r="A424" s="13" t="s">
        <v>87</v>
      </c>
      <c r="B424" s="13" t="s">
        <v>45</v>
      </c>
      <c r="C424" s="13" t="s">
        <v>99</v>
      </c>
      <c r="D424" s="9" t="n">
        <v>45627</v>
      </c>
      <c r="E424" s="26" t="n">
        <v>51.72</v>
      </c>
      <c r="F424" s="26" t="n">
        <v>39.5</v>
      </c>
      <c r="G424" s="11" t="n">
        <f aca="false">IF(E424=0,"",F424/E424)</f>
        <v>0.763727764887858</v>
      </c>
      <c r="H424" s="27" t="n">
        <v>8016.72</v>
      </c>
      <c r="I424" s="27" t="n">
        <v>6122.5</v>
      </c>
      <c r="J424" s="27" t="n">
        <v>6122.5</v>
      </c>
      <c r="K424" s="11" t="n">
        <f aca="false">IF(I424=0,"",J424/I424)</f>
        <v>1</v>
      </c>
    </row>
    <row r="425" customFormat="false" ht="15" hidden="false" customHeight="false" outlineLevel="0" collapsed="false">
      <c r="A425" s="13" t="s">
        <v>87</v>
      </c>
      <c r="B425" s="13" t="s">
        <v>45</v>
      </c>
      <c r="C425" s="13" t="s">
        <v>100</v>
      </c>
      <c r="D425" s="9" t="n">
        <v>45627</v>
      </c>
      <c r="E425" s="26" t="n">
        <v>65.77</v>
      </c>
      <c r="F425" s="26" t="n">
        <v>57.2</v>
      </c>
      <c r="G425" s="11" t="n">
        <f aca="false">IF(E425=0,"",F425/E425)</f>
        <v>0.86969743043941</v>
      </c>
      <c r="H425" s="27" t="n">
        <v>13811.37</v>
      </c>
      <c r="I425" s="27" t="n">
        <v>12012</v>
      </c>
      <c r="J425" s="27" t="n">
        <v>12449.5</v>
      </c>
      <c r="K425" s="11" t="n">
        <f aca="false">IF(I425=0,"",J425/I425)</f>
        <v>1.03642191142191</v>
      </c>
    </row>
    <row r="426" customFormat="false" ht="15" hidden="false" customHeight="false" outlineLevel="0" collapsed="false">
      <c r="A426" s="13" t="s">
        <v>87</v>
      </c>
      <c r="B426" s="13" t="s">
        <v>45</v>
      </c>
      <c r="C426" s="13" t="s">
        <v>101</v>
      </c>
      <c r="D426" s="9" t="n">
        <v>45627</v>
      </c>
      <c r="E426" s="26" t="n">
        <v>22.14</v>
      </c>
      <c r="F426" s="26" t="n">
        <v>22.1</v>
      </c>
      <c r="G426" s="11" t="n">
        <f aca="false">IF(E426=0,"",F426/E426)</f>
        <v>0.998193315266486</v>
      </c>
      <c r="H426" s="27" t="n">
        <v>6087.3</v>
      </c>
      <c r="I426" s="27" t="n">
        <v>6077.5</v>
      </c>
      <c r="J426" s="27" t="n">
        <v>6077.5</v>
      </c>
      <c r="K426" s="11" t="n">
        <f aca="false">IF(I426=0,"",J426/I426)</f>
        <v>1</v>
      </c>
    </row>
    <row r="427" customFormat="false" ht="15" hidden="false" customHeight="false" outlineLevel="0" collapsed="false">
      <c r="A427" s="13" t="s">
        <v>87</v>
      </c>
      <c r="B427" s="13" t="s">
        <v>45</v>
      </c>
      <c r="C427" s="13" t="s">
        <v>102</v>
      </c>
      <c r="D427" s="9" t="n">
        <v>45627</v>
      </c>
      <c r="E427" s="26" t="n">
        <v>9.26</v>
      </c>
      <c r="F427" s="26" t="n">
        <v>5.8</v>
      </c>
      <c r="G427" s="11" t="n">
        <f aca="false">IF(E427=0,"",F427/E427)</f>
        <v>0.626349892008639</v>
      </c>
      <c r="H427" s="27" t="n">
        <v>3564.58</v>
      </c>
      <c r="I427" s="27" t="n">
        <v>2233</v>
      </c>
      <c r="J427" s="27" t="n">
        <v>2233</v>
      </c>
      <c r="K427" s="11" t="n">
        <f aca="false">IF(I427=0,"",J427/I427)</f>
        <v>1</v>
      </c>
    </row>
    <row r="428" customFormat="false" ht="15" hidden="false" customHeight="false" outlineLevel="0" collapsed="false">
      <c r="A428" s="13" t="s">
        <v>87</v>
      </c>
      <c r="B428" s="13" t="s">
        <v>45</v>
      </c>
      <c r="C428" s="13" t="s">
        <v>99</v>
      </c>
      <c r="D428" s="9" t="n">
        <v>45658</v>
      </c>
      <c r="E428" s="26" t="n">
        <v>60.93</v>
      </c>
      <c r="F428" s="26" t="n">
        <v>38.6</v>
      </c>
      <c r="G428" s="11" t="n">
        <f aca="false">IF(E428=0,"",F428/E428)</f>
        <v>0.633513868373543</v>
      </c>
      <c r="H428" s="27" t="n">
        <v>9443.98</v>
      </c>
      <c r="I428" s="27" t="n">
        <v>5983</v>
      </c>
      <c r="J428" s="27" t="n">
        <v>5983</v>
      </c>
      <c r="K428" s="11" t="n">
        <f aca="false">IF(I428=0,"",J428/I428)</f>
        <v>1</v>
      </c>
    </row>
    <row r="429" customFormat="false" ht="15" hidden="false" customHeight="false" outlineLevel="0" collapsed="false">
      <c r="A429" s="13" t="s">
        <v>87</v>
      </c>
      <c r="B429" s="13" t="s">
        <v>45</v>
      </c>
      <c r="C429" s="13" t="s">
        <v>100</v>
      </c>
      <c r="D429" s="9" t="n">
        <v>45658</v>
      </c>
      <c r="E429" s="26" t="n">
        <v>77.48</v>
      </c>
      <c r="F429" s="26" t="n">
        <v>59.6</v>
      </c>
      <c r="G429" s="11" t="n">
        <f aca="false">IF(E429=0,"",F429/E429)</f>
        <v>0.769230769230769</v>
      </c>
      <c r="H429" s="27" t="n">
        <v>16270.28</v>
      </c>
      <c r="I429" s="27" t="n">
        <v>12516</v>
      </c>
      <c r="J429" s="27" t="n">
        <v>12516</v>
      </c>
      <c r="K429" s="11" t="n">
        <f aca="false">IF(I429=0,"",J429/I429)</f>
        <v>1</v>
      </c>
    </row>
    <row r="430" customFormat="false" ht="15" hidden="false" customHeight="false" outlineLevel="0" collapsed="false">
      <c r="A430" s="13" t="s">
        <v>87</v>
      </c>
      <c r="B430" s="13" t="s">
        <v>45</v>
      </c>
      <c r="C430" s="13" t="s">
        <v>101</v>
      </c>
      <c r="D430" s="9" t="n">
        <v>45658</v>
      </c>
      <c r="E430" s="26" t="n">
        <v>26.08</v>
      </c>
      <c r="F430" s="26" t="n">
        <v>23.1</v>
      </c>
      <c r="G430" s="11" t="n">
        <f aca="false">IF(E430=0,"",F430/E430)</f>
        <v>0.885736196319019</v>
      </c>
      <c r="H430" s="27" t="n">
        <v>7171.06</v>
      </c>
      <c r="I430" s="27" t="n">
        <v>6352.5</v>
      </c>
      <c r="J430" s="27" t="n">
        <v>6352.5</v>
      </c>
      <c r="K430" s="11" t="n">
        <f aca="false">IF(I430=0,"",J430/I430)</f>
        <v>1</v>
      </c>
    </row>
    <row r="431" customFormat="false" ht="15" hidden="false" customHeight="false" outlineLevel="0" collapsed="false">
      <c r="A431" s="13" t="s">
        <v>87</v>
      </c>
      <c r="B431" s="13" t="s">
        <v>45</v>
      </c>
      <c r="C431" s="13" t="s">
        <v>102</v>
      </c>
      <c r="D431" s="9" t="n">
        <v>45658</v>
      </c>
      <c r="E431" s="26" t="n">
        <v>10.91</v>
      </c>
      <c r="F431" s="26" t="n">
        <v>7.1</v>
      </c>
      <c r="G431" s="11" t="n">
        <f aca="false">IF(E431=0,"",F431/E431)</f>
        <v>0.650779101741522</v>
      </c>
      <c r="H431" s="27" t="n">
        <v>4199.21</v>
      </c>
      <c r="I431" s="27" t="n">
        <v>2733.5</v>
      </c>
      <c r="J431" s="27" t="n">
        <v>2733.5</v>
      </c>
      <c r="K431" s="11" t="n">
        <f aca="false">IF(I431=0,"",J431/I431)</f>
        <v>1</v>
      </c>
    </row>
    <row r="432" customFormat="false" ht="15" hidden="false" customHeight="false" outlineLevel="0" collapsed="false">
      <c r="A432" s="13" t="s">
        <v>87</v>
      </c>
      <c r="B432" s="13" t="s">
        <v>45</v>
      </c>
      <c r="C432" s="13" t="s">
        <v>99</v>
      </c>
      <c r="D432" s="9" t="n">
        <v>45689</v>
      </c>
      <c r="E432" s="26" t="n">
        <v>65.83</v>
      </c>
      <c r="F432" s="26" t="n">
        <v>45.7</v>
      </c>
      <c r="G432" s="11" t="n">
        <f aca="false">IF(E432=0,"",F432/E432)</f>
        <v>0.694212365183047</v>
      </c>
      <c r="H432" s="27" t="n">
        <v>10203.41</v>
      </c>
      <c r="I432" s="27" t="n">
        <v>7083.5</v>
      </c>
      <c r="J432" s="27" t="n">
        <v>7083.5</v>
      </c>
      <c r="K432" s="11" t="n">
        <f aca="false">IF(I432=0,"",J432/I432)</f>
        <v>1</v>
      </c>
    </row>
    <row r="433" customFormat="false" ht="15" hidden="false" customHeight="false" outlineLevel="0" collapsed="false">
      <c r="A433" s="13" t="s">
        <v>87</v>
      </c>
      <c r="B433" s="13" t="s">
        <v>45</v>
      </c>
      <c r="C433" s="13" t="s">
        <v>100</v>
      </c>
      <c r="D433" s="9" t="n">
        <v>45689</v>
      </c>
      <c r="E433" s="26" t="n">
        <v>83.71</v>
      </c>
      <c r="F433" s="26" t="n">
        <v>69.4</v>
      </c>
      <c r="G433" s="11" t="n">
        <f aca="false">IF(E433=0,"",F433/E433)</f>
        <v>0.829052681877912</v>
      </c>
      <c r="H433" s="27" t="n">
        <v>17578.63</v>
      </c>
      <c r="I433" s="27" t="n">
        <v>14574</v>
      </c>
      <c r="J433" s="27" t="n">
        <v>14574</v>
      </c>
      <c r="K433" s="11" t="n">
        <f aca="false">IF(I433=0,"",J433/I433)</f>
        <v>1</v>
      </c>
    </row>
    <row r="434" customFormat="false" ht="15" hidden="false" customHeight="false" outlineLevel="0" collapsed="false">
      <c r="A434" s="13" t="s">
        <v>87</v>
      </c>
      <c r="B434" s="13" t="s">
        <v>45</v>
      </c>
      <c r="C434" s="13" t="s">
        <v>101</v>
      </c>
      <c r="D434" s="9" t="n">
        <v>45689</v>
      </c>
      <c r="E434" s="26" t="n">
        <v>28.17</v>
      </c>
      <c r="F434" s="26" t="n">
        <v>28.2</v>
      </c>
      <c r="G434" s="11" t="n">
        <f aca="false">IF(E434=0,"",F434/E434)</f>
        <v>1.0010649627263</v>
      </c>
      <c r="H434" s="27" t="n">
        <v>7747.71</v>
      </c>
      <c r="I434" s="27" t="n">
        <v>7755</v>
      </c>
      <c r="J434" s="27" t="n">
        <v>7755</v>
      </c>
      <c r="K434" s="11" t="n">
        <f aca="false">IF(I434=0,"",J434/I434)</f>
        <v>1</v>
      </c>
    </row>
    <row r="435" customFormat="false" ht="15" hidden="false" customHeight="false" outlineLevel="0" collapsed="false">
      <c r="A435" s="13" t="s">
        <v>87</v>
      </c>
      <c r="B435" s="13" t="s">
        <v>45</v>
      </c>
      <c r="C435" s="13" t="s">
        <v>102</v>
      </c>
      <c r="D435" s="9" t="n">
        <v>45689</v>
      </c>
      <c r="E435" s="26" t="n">
        <v>11.78</v>
      </c>
      <c r="F435" s="26" t="n">
        <v>9.6</v>
      </c>
      <c r="G435" s="11" t="n">
        <f aca="false">IF(E435=0,"",F435/E435)</f>
        <v>0.814940577249576</v>
      </c>
      <c r="H435" s="27" t="n">
        <v>4536.88</v>
      </c>
      <c r="I435" s="27" t="n">
        <v>3696</v>
      </c>
      <c r="J435" s="27" t="n">
        <v>3696</v>
      </c>
      <c r="K435" s="11" t="n">
        <f aca="false">IF(I435=0,"",J435/I435)</f>
        <v>1</v>
      </c>
    </row>
    <row r="436" customFormat="false" ht="15" hidden="false" customHeight="false" outlineLevel="0" collapsed="false">
      <c r="A436" s="13" t="s">
        <v>87</v>
      </c>
      <c r="B436" s="13" t="s">
        <v>45</v>
      </c>
      <c r="C436" s="13" t="s">
        <v>99</v>
      </c>
      <c r="D436" s="9" t="n">
        <v>45717</v>
      </c>
      <c r="E436" s="26" t="n">
        <v>65.83</v>
      </c>
      <c r="F436" s="26" t="n">
        <v>53.9</v>
      </c>
      <c r="G436" s="11" t="n">
        <f aca="false">IF(E436=0,"",F436/E436)</f>
        <v>0.818775634209327</v>
      </c>
      <c r="H436" s="27" t="n">
        <v>10203.41</v>
      </c>
      <c r="I436" s="27" t="n">
        <v>8354.5</v>
      </c>
      <c r="J436" s="27" t="n">
        <v>8354.5</v>
      </c>
      <c r="K436" s="11" t="n">
        <f aca="false">IF(I436=0,"",J436/I436)</f>
        <v>1</v>
      </c>
    </row>
    <row r="437" customFormat="false" ht="15" hidden="false" customHeight="false" outlineLevel="0" collapsed="false">
      <c r="A437" s="13" t="s">
        <v>87</v>
      </c>
      <c r="B437" s="13" t="s">
        <v>45</v>
      </c>
      <c r="C437" s="13" t="s">
        <v>100</v>
      </c>
      <c r="D437" s="9" t="n">
        <v>45717</v>
      </c>
      <c r="E437" s="26" t="n">
        <v>83.71</v>
      </c>
      <c r="F437" s="26" t="n">
        <v>77.5</v>
      </c>
      <c r="G437" s="11" t="n">
        <f aca="false">IF(E437=0,"",F437/E437)</f>
        <v>0.925815314777207</v>
      </c>
      <c r="H437" s="27" t="n">
        <v>17578.63</v>
      </c>
      <c r="I437" s="27" t="n">
        <v>16275</v>
      </c>
      <c r="J437" s="27" t="n">
        <v>16275</v>
      </c>
      <c r="K437" s="11" t="n">
        <f aca="false">IF(I437=0,"",J437/I437)</f>
        <v>1</v>
      </c>
    </row>
    <row r="438" customFormat="false" ht="15" hidden="false" customHeight="false" outlineLevel="0" collapsed="false">
      <c r="A438" s="13" t="s">
        <v>87</v>
      </c>
      <c r="B438" s="13" t="s">
        <v>45</v>
      </c>
      <c r="C438" s="13" t="s">
        <v>101</v>
      </c>
      <c r="D438" s="9" t="n">
        <v>45717</v>
      </c>
      <c r="E438" s="26" t="n">
        <v>28.17</v>
      </c>
      <c r="F438" s="26" t="n">
        <v>23.4</v>
      </c>
      <c r="G438" s="11" t="n">
        <f aca="false">IF(E438=0,"",F438/E438)</f>
        <v>0.830670926517572</v>
      </c>
      <c r="H438" s="27" t="n">
        <v>7747.71</v>
      </c>
      <c r="I438" s="27" t="n">
        <v>6435</v>
      </c>
      <c r="J438" s="27" t="n">
        <v>6435</v>
      </c>
      <c r="K438" s="11" t="n">
        <f aca="false">IF(I438=0,"",J438/I438)</f>
        <v>1</v>
      </c>
    </row>
    <row r="439" customFormat="false" ht="15" hidden="false" customHeight="false" outlineLevel="0" collapsed="false">
      <c r="A439" s="13" t="s">
        <v>87</v>
      </c>
      <c r="B439" s="13" t="s">
        <v>45</v>
      </c>
      <c r="C439" s="13" t="s">
        <v>102</v>
      </c>
      <c r="D439" s="9" t="n">
        <v>45717</v>
      </c>
      <c r="E439" s="26" t="n">
        <v>11.78</v>
      </c>
      <c r="F439" s="26" t="n">
        <v>11.8</v>
      </c>
      <c r="G439" s="11" t="n">
        <f aca="false">IF(E439=0,"",F439/E439)</f>
        <v>1.00169779286927</v>
      </c>
      <c r="H439" s="27" t="n">
        <v>4536.88</v>
      </c>
      <c r="I439" s="27" t="n">
        <v>4543</v>
      </c>
      <c r="J439" s="27" t="n">
        <v>4543</v>
      </c>
      <c r="K439" s="11" t="n">
        <f aca="false">IF(I439=0,"",J439/I439)</f>
        <v>1</v>
      </c>
    </row>
    <row r="440" customFormat="false" ht="15" hidden="false" customHeight="false" outlineLevel="0" collapsed="false">
      <c r="A440" s="13" t="s">
        <v>87</v>
      </c>
      <c r="B440" s="13" t="s">
        <v>45</v>
      </c>
      <c r="C440" s="13" t="s">
        <v>99</v>
      </c>
      <c r="D440" s="9" t="n">
        <v>45748</v>
      </c>
      <c r="E440" s="26" t="n">
        <v>60.93</v>
      </c>
      <c r="F440" s="26" t="n">
        <v>57.1</v>
      </c>
      <c r="G440" s="11" t="n">
        <f aca="false">IF(E440=0,"",F440/E440)</f>
        <v>0.937140981454128</v>
      </c>
      <c r="H440" s="27" t="n">
        <v>9443.98</v>
      </c>
      <c r="I440" s="27" t="n">
        <v>8850.5</v>
      </c>
      <c r="J440" s="27" t="n">
        <v>8850.5</v>
      </c>
      <c r="K440" s="11" t="n">
        <f aca="false">IF(I440=0,"",J440/I440)</f>
        <v>1</v>
      </c>
    </row>
    <row r="441" customFormat="false" ht="15" hidden="false" customHeight="false" outlineLevel="0" collapsed="false">
      <c r="A441" s="13" t="s">
        <v>87</v>
      </c>
      <c r="B441" s="13" t="s">
        <v>45</v>
      </c>
      <c r="C441" s="13" t="s">
        <v>100</v>
      </c>
      <c r="D441" s="9" t="n">
        <v>45748</v>
      </c>
      <c r="E441" s="26" t="n">
        <v>77.48</v>
      </c>
      <c r="F441" s="26" t="n">
        <v>62.3</v>
      </c>
      <c r="G441" s="11" t="n">
        <f aca="false">IF(E441=0,"",F441/E441)</f>
        <v>0.804078471863707</v>
      </c>
      <c r="H441" s="27" t="n">
        <v>16270.28</v>
      </c>
      <c r="I441" s="27" t="n">
        <v>13083</v>
      </c>
      <c r="J441" s="27" t="n">
        <v>13083</v>
      </c>
      <c r="K441" s="11" t="n">
        <f aca="false">IF(I441=0,"",J441/I441)</f>
        <v>1</v>
      </c>
    </row>
    <row r="442" customFormat="false" ht="15" hidden="false" customHeight="false" outlineLevel="0" collapsed="false">
      <c r="A442" s="13" t="s">
        <v>87</v>
      </c>
      <c r="B442" s="13" t="s">
        <v>45</v>
      </c>
      <c r="C442" s="13" t="s">
        <v>101</v>
      </c>
      <c r="D442" s="9" t="n">
        <v>45748</v>
      </c>
      <c r="E442" s="26" t="n">
        <v>26.08</v>
      </c>
      <c r="F442" s="26" t="n">
        <v>23.7</v>
      </c>
      <c r="G442" s="11" t="n">
        <f aca="false">IF(E442=0,"",F442/E442)</f>
        <v>0.908742331288344</v>
      </c>
      <c r="H442" s="27" t="n">
        <v>7171.06</v>
      </c>
      <c r="I442" s="27" t="n">
        <v>6517.5</v>
      </c>
      <c r="J442" s="27" t="n">
        <v>6517.5</v>
      </c>
      <c r="K442" s="11" t="n">
        <f aca="false">IF(I442=0,"",J442/I442)</f>
        <v>1</v>
      </c>
    </row>
    <row r="443" customFormat="false" ht="15" hidden="false" customHeight="false" outlineLevel="0" collapsed="false">
      <c r="A443" s="13" t="s">
        <v>87</v>
      </c>
      <c r="B443" s="13" t="s">
        <v>45</v>
      </c>
      <c r="C443" s="13" t="s">
        <v>102</v>
      </c>
      <c r="D443" s="9" t="n">
        <v>45748</v>
      </c>
      <c r="E443" s="26" t="n">
        <v>10.91</v>
      </c>
      <c r="F443" s="26" t="n">
        <v>10.9</v>
      </c>
      <c r="G443" s="11" t="n">
        <f aca="false">IF(E443=0,"",F443/E443)</f>
        <v>0.999083409715857</v>
      </c>
      <c r="H443" s="27" t="n">
        <v>4199.21</v>
      </c>
      <c r="I443" s="27" t="n">
        <v>4196.5</v>
      </c>
      <c r="J443" s="27" t="n">
        <v>4196.5</v>
      </c>
      <c r="K443" s="11" t="n">
        <f aca="false">IF(I443=0,"",J443/I443)</f>
        <v>1</v>
      </c>
    </row>
    <row r="444" customFormat="false" ht="15" hidden="false" customHeight="false" outlineLevel="0" collapsed="false">
      <c r="A444" s="13" t="s">
        <v>87</v>
      </c>
      <c r="B444" s="13" t="s">
        <v>45</v>
      </c>
      <c r="C444" s="13" t="s">
        <v>99</v>
      </c>
      <c r="D444" s="9" t="n">
        <v>45778</v>
      </c>
      <c r="E444" s="26" t="n">
        <v>51.72</v>
      </c>
      <c r="F444" s="26" t="n">
        <v>40.6</v>
      </c>
      <c r="G444" s="11" t="n">
        <f aca="false">IF(E444=0,"",F444/E444)</f>
        <v>0.784996133023975</v>
      </c>
      <c r="H444" s="27" t="n">
        <v>8016.72</v>
      </c>
      <c r="I444" s="27" t="n">
        <v>6293</v>
      </c>
      <c r="J444" s="27" t="n">
        <v>7420</v>
      </c>
      <c r="K444" s="11" t="n">
        <f aca="false">IF(I444=0,"",J444/I444)</f>
        <v>1.17908787541713</v>
      </c>
    </row>
    <row r="445" customFormat="false" ht="15" hidden="false" customHeight="false" outlineLevel="0" collapsed="false">
      <c r="A445" s="13" t="s">
        <v>87</v>
      </c>
      <c r="B445" s="13" t="s">
        <v>45</v>
      </c>
      <c r="C445" s="13" t="s">
        <v>100</v>
      </c>
      <c r="D445" s="9" t="n">
        <v>45778</v>
      </c>
      <c r="E445" s="26" t="n">
        <v>65.77</v>
      </c>
      <c r="F445" s="26" t="n">
        <v>56.9</v>
      </c>
      <c r="G445" s="11" t="n">
        <f aca="false">IF(E445=0,"",F445/E445)</f>
        <v>0.865136080279763</v>
      </c>
      <c r="H445" s="27" t="n">
        <v>13811.37</v>
      </c>
      <c r="I445" s="27" t="n">
        <v>11949</v>
      </c>
      <c r="J445" s="27" t="n">
        <v>11949</v>
      </c>
      <c r="K445" s="11" t="n">
        <f aca="false">IF(I445=0,"",J445/I445)</f>
        <v>1</v>
      </c>
    </row>
    <row r="446" customFormat="false" ht="15" hidden="false" customHeight="false" outlineLevel="0" collapsed="false">
      <c r="A446" s="13" t="s">
        <v>87</v>
      </c>
      <c r="B446" s="13" t="s">
        <v>45</v>
      </c>
      <c r="C446" s="13" t="s">
        <v>101</v>
      </c>
      <c r="D446" s="9" t="n">
        <v>45778</v>
      </c>
      <c r="E446" s="26" t="n">
        <v>22.14</v>
      </c>
      <c r="F446" s="26" t="n">
        <v>20.1</v>
      </c>
      <c r="G446" s="11" t="n">
        <f aca="false">IF(E446=0,"",F446/E446)</f>
        <v>0.907859078590786</v>
      </c>
      <c r="H446" s="27" t="n">
        <v>6087.3</v>
      </c>
      <c r="I446" s="27" t="n">
        <v>5527.5</v>
      </c>
      <c r="J446" s="27" t="n">
        <v>5527.5</v>
      </c>
      <c r="K446" s="11" t="n">
        <f aca="false">IF(I446=0,"",J446/I446)</f>
        <v>1</v>
      </c>
    </row>
    <row r="447" customFormat="false" ht="15" hidden="false" customHeight="false" outlineLevel="0" collapsed="false">
      <c r="A447" s="13" t="s">
        <v>87</v>
      </c>
      <c r="B447" s="13" t="s">
        <v>45</v>
      </c>
      <c r="C447" s="13" t="s">
        <v>102</v>
      </c>
      <c r="D447" s="9" t="n">
        <v>45778</v>
      </c>
      <c r="E447" s="26" t="n">
        <v>9.26</v>
      </c>
      <c r="F447" s="26" t="n">
        <v>9.3</v>
      </c>
      <c r="G447" s="11" t="n">
        <f aca="false">IF(E447=0,"",F447/E447)</f>
        <v>1.00431965442765</v>
      </c>
      <c r="H447" s="27" t="n">
        <v>3564.58</v>
      </c>
      <c r="I447" s="27" t="n">
        <v>3580.5</v>
      </c>
      <c r="J447" s="27" t="n">
        <v>3580.5</v>
      </c>
      <c r="K447" s="11" t="n">
        <f aca="false">IF(I447=0,"",J447/I447)</f>
        <v>1</v>
      </c>
    </row>
    <row r="448" customFormat="false" ht="15" hidden="false" customHeight="false" outlineLevel="0" collapsed="false">
      <c r="A448" s="13" t="s">
        <v>87</v>
      </c>
      <c r="B448" s="13" t="s">
        <v>45</v>
      </c>
      <c r="C448" s="13" t="s">
        <v>99</v>
      </c>
      <c r="D448" s="9" t="n">
        <v>45809</v>
      </c>
      <c r="E448" s="26" t="n">
        <v>39.31</v>
      </c>
      <c r="F448" s="26" t="n">
        <v>38.8</v>
      </c>
      <c r="G448" s="11" t="n">
        <f aca="false">IF(E448=0,"",F448/E448)</f>
        <v>0.987026201984228</v>
      </c>
      <c r="H448" s="27" t="n">
        <v>6093.79</v>
      </c>
      <c r="I448" s="27" t="n">
        <v>6014</v>
      </c>
      <c r="J448" s="27" t="n">
        <v>6014</v>
      </c>
      <c r="K448" s="11" t="n">
        <f aca="false">IF(I448=0,"",J448/I448)</f>
        <v>1</v>
      </c>
    </row>
    <row r="449" customFormat="false" ht="15" hidden="false" customHeight="false" outlineLevel="0" collapsed="false">
      <c r="A449" s="13" t="s">
        <v>87</v>
      </c>
      <c r="B449" s="13" t="s">
        <v>45</v>
      </c>
      <c r="C449" s="13" t="s">
        <v>100</v>
      </c>
      <c r="D449" s="9" t="n">
        <v>45809</v>
      </c>
      <c r="E449" s="26" t="n">
        <v>49.99</v>
      </c>
      <c r="F449" s="26" t="n">
        <v>30.6</v>
      </c>
      <c r="G449" s="11" t="n">
        <f aca="false">IF(E449=0,"",F449/E449)</f>
        <v>0.612122424484897</v>
      </c>
      <c r="H449" s="27" t="n">
        <v>10498.49</v>
      </c>
      <c r="I449" s="27" t="n">
        <v>6426</v>
      </c>
      <c r="J449" s="27" t="n">
        <v>6426</v>
      </c>
      <c r="K449" s="11" t="n">
        <f aca="false">IF(I449=0,"",J449/I449)</f>
        <v>1</v>
      </c>
    </row>
    <row r="450" customFormat="false" ht="15" hidden="false" customHeight="false" outlineLevel="0" collapsed="false">
      <c r="A450" s="13" t="s">
        <v>87</v>
      </c>
      <c r="B450" s="13" t="s">
        <v>45</v>
      </c>
      <c r="C450" s="13" t="s">
        <v>101</v>
      </c>
      <c r="D450" s="9" t="n">
        <v>45809</v>
      </c>
      <c r="E450" s="26" t="n">
        <v>16.83</v>
      </c>
      <c r="F450" s="26" t="n">
        <v>15.4</v>
      </c>
      <c r="G450" s="11" t="n">
        <f aca="false">IF(E450=0,"",F450/E450)</f>
        <v>0.915032679738562</v>
      </c>
      <c r="H450" s="27" t="n">
        <v>4627.17</v>
      </c>
      <c r="I450" s="27" t="n">
        <v>4235</v>
      </c>
      <c r="J450" s="27" t="n">
        <v>4235</v>
      </c>
      <c r="K450" s="11" t="n">
        <f aca="false">IF(I450=0,"",J450/I450)</f>
        <v>1</v>
      </c>
    </row>
    <row r="451" customFormat="false" ht="15" hidden="false" customHeight="false" outlineLevel="0" collapsed="false">
      <c r="A451" s="13" t="s">
        <v>87</v>
      </c>
      <c r="B451" s="13" t="s">
        <v>45</v>
      </c>
      <c r="C451" s="13" t="s">
        <v>102</v>
      </c>
      <c r="D451" s="9" t="n">
        <v>45809</v>
      </c>
      <c r="E451" s="26" t="n">
        <v>7.04</v>
      </c>
      <c r="F451" s="26" t="n">
        <v>6.2</v>
      </c>
      <c r="G451" s="11" t="n">
        <f aca="false">IF(E451=0,"",F451/E451)</f>
        <v>0.880681818181818</v>
      </c>
      <c r="H451" s="27" t="n">
        <v>2709.56</v>
      </c>
      <c r="I451" s="27" t="n">
        <v>2387</v>
      </c>
      <c r="J451" s="27" t="n">
        <v>2387</v>
      </c>
      <c r="K451" s="11" t="n">
        <f aca="false">IF(I451=0,"",J451/I451)</f>
        <v>1</v>
      </c>
    </row>
    <row r="452" customFormat="false" ht="15" hidden="false" customHeight="false" outlineLevel="0" collapsed="false">
      <c r="A452" s="13" t="s">
        <v>87</v>
      </c>
      <c r="B452" s="13" t="s">
        <v>45</v>
      </c>
      <c r="C452" s="13" t="s">
        <v>99</v>
      </c>
      <c r="D452" s="9" t="n">
        <v>45839</v>
      </c>
      <c r="E452" s="26" t="n">
        <v>25.21</v>
      </c>
      <c r="F452" s="26" t="n">
        <v>19.3</v>
      </c>
      <c r="G452" s="11" t="n">
        <f aca="false">IF(E452=0,"",F452/E452)</f>
        <v>0.765569218564062</v>
      </c>
      <c r="H452" s="27" t="n">
        <v>3907.1</v>
      </c>
      <c r="I452" s="27" t="n">
        <v>2991.5</v>
      </c>
      <c r="J452" s="27" t="n">
        <v>2991.5</v>
      </c>
      <c r="K452" s="11" t="n">
        <f aca="false">IF(I452=0,"",J452/I452)</f>
        <v>1</v>
      </c>
    </row>
    <row r="453" customFormat="false" ht="15" hidden="false" customHeight="false" outlineLevel="0" collapsed="false">
      <c r="A453" s="13" t="s">
        <v>87</v>
      </c>
      <c r="B453" s="13" t="s">
        <v>45</v>
      </c>
      <c r="C453" s="13" t="s">
        <v>100</v>
      </c>
      <c r="D453" s="9" t="n">
        <v>45839</v>
      </c>
      <c r="E453" s="26" t="n">
        <v>32.05</v>
      </c>
      <c r="F453" s="26" t="n">
        <v>19.1</v>
      </c>
      <c r="G453" s="11" t="n">
        <f aca="false">IF(E453=0,"",F453/E453)</f>
        <v>0.59594383775351</v>
      </c>
      <c r="H453" s="27" t="n">
        <v>6731.23</v>
      </c>
      <c r="I453" s="27" t="n">
        <v>4011</v>
      </c>
      <c r="J453" s="27" t="n">
        <v>4011</v>
      </c>
      <c r="K453" s="11" t="n">
        <f aca="false">IF(I453=0,"",J453/I453)</f>
        <v>1</v>
      </c>
    </row>
    <row r="454" customFormat="false" ht="15" hidden="false" customHeight="false" outlineLevel="0" collapsed="false">
      <c r="A454" s="13" t="s">
        <v>87</v>
      </c>
      <c r="B454" s="13" t="s">
        <v>45</v>
      </c>
      <c r="C454" s="13" t="s">
        <v>101</v>
      </c>
      <c r="D454" s="9" t="n">
        <v>45839</v>
      </c>
      <c r="E454" s="26" t="n">
        <v>10.79</v>
      </c>
      <c r="F454" s="26" t="n">
        <v>6.2</v>
      </c>
      <c r="G454" s="11" t="n">
        <f aca="false">IF(E454=0,"",F454/E454)</f>
        <v>0.574606116774792</v>
      </c>
      <c r="H454" s="27" t="n">
        <v>2966.76</v>
      </c>
      <c r="I454" s="27" t="n">
        <v>1705</v>
      </c>
      <c r="J454" s="27" t="n">
        <v>1705</v>
      </c>
      <c r="K454" s="11" t="n">
        <f aca="false">IF(I454=0,"",J454/I454)</f>
        <v>1</v>
      </c>
    </row>
    <row r="455" customFormat="false" ht="15" hidden="false" customHeight="false" outlineLevel="0" collapsed="false">
      <c r="A455" s="13" t="s">
        <v>87</v>
      </c>
      <c r="B455" s="13" t="s">
        <v>45</v>
      </c>
      <c r="C455" s="13" t="s">
        <v>102</v>
      </c>
      <c r="D455" s="9" t="n">
        <v>45839</v>
      </c>
      <c r="E455" s="26" t="n">
        <v>4.51</v>
      </c>
      <c r="F455" s="26" t="n">
        <v>4.5</v>
      </c>
      <c r="G455" s="11" t="n">
        <f aca="false">IF(E455=0,"",F455/E455)</f>
        <v>0.997782705099778</v>
      </c>
      <c r="H455" s="27" t="n">
        <v>1737.27</v>
      </c>
      <c r="I455" s="27" t="n">
        <v>1732.5</v>
      </c>
      <c r="J455" s="27" t="n">
        <v>1732.5</v>
      </c>
      <c r="K455" s="11" t="n">
        <f aca="false">IF(I455=0,"",J455/I455)</f>
        <v>1</v>
      </c>
    </row>
    <row r="456" customFormat="false" ht="15" hidden="false" customHeight="false" outlineLevel="0" collapsed="false">
      <c r="A456" s="13" t="s">
        <v>89</v>
      </c>
      <c r="B456" s="13" t="s">
        <v>50</v>
      </c>
      <c r="C456" s="13" t="s">
        <v>99</v>
      </c>
      <c r="D456" s="9" t="n">
        <v>45658</v>
      </c>
      <c r="E456" s="26" t="n">
        <v>12.09</v>
      </c>
      <c r="F456" s="26" t="n">
        <v>15.5</v>
      </c>
      <c r="G456" s="11" t="n">
        <f aca="false">IF(E456=0,"",F456/E456)</f>
        <v>1.28205128205128</v>
      </c>
      <c r="H456" s="27" t="n">
        <v>1874.68</v>
      </c>
      <c r="I456" s="27" t="n">
        <v>2402.5</v>
      </c>
      <c r="J456" s="27" t="n">
        <v>2402.5</v>
      </c>
      <c r="K456" s="11" t="n">
        <f aca="false">IF(I456=0,"",J456/I456)</f>
        <v>1</v>
      </c>
    </row>
    <row r="457" customFormat="false" ht="15" hidden="false" customHeight="false" outlineLevel="0" collapsed="false">
      <c r="A457" s="13" t="s">
        <v>89</v>
      </c>
      <c r="B457" s="13" t="s">
        <v>50</v>
      </c>
      <c r="C457" s="13" t="s">
        <v>100</v>
      </c>
      <c r="D457" s="9" t="n">
        <v>45658</v>
      </c>
      <c r="E457" s="26" t="n">
        <v>16.74</v>
      </c>
      <c r="F457" s="26" t="n">
        <v>18.7</v>
      </c>
      <c r="G457" s="11" t="n">
        <f aca="false">IF(E457=0,"",F457/E457)</f>
        <v>1.11708482676225</v>
      </c>
      <c r="H457" s="27" t="n">
        <v>3514.51</v>
      </c>
      <c r="I457" s="27" t="n">
        <v>3927</v>
      </c>
      <c r="J457" s="27" t="n">
        <v>3927</v>
      </c>
      <c r="K457" s="11" t="n">
        <f aca="false">IF(I457=0,"",J457/I457)</f>
        <v>1</v>
      </c>
    </row>
    <row r="458" customFormat="false" ht="15" hidden="false" customHeight="false" outlineLevel="0" collapsed="false">
      <c r="A458" s="13" t="s">
        <v>89</v>
      </c>
      <c r="B458" s="13" t="s">
        <v>50</v>
      </c>
      <c r="C458" s="13" t="s">
        <v>101</v>
      </c>
      <c r="D458" s="9" t="n">
        <v>45658</v>
      </c>
      <c r="E458" s="26" t="n">
        <v>6.33</v>
      </c>
      <c r="F458" s="26" t="n">
        <v>3.9</v>
      </c>
      <c r="G458" s="11" t="n">
        <f aca="false">IF(E458=0,"",F458/E458)</f>
        <v>0.616113744075829</v>
      </c>
      <c r="H458" s="27" t="n">
        <v>1740.38</v>
      </c>
      <c r="I458" s="27" t="n">
        <v>1072.5</v>
      </c>
      <c r="J458" s="27" t="n">
        <v>1072.5</v>
      </c>
      <c r="K458" s="11" t="n">
        <f aca="false">IF(I458=0,"",J458/I458)</f>
        <v>1</v>
      </c>
    </row>
    <row r="459" customFormat="false" ht="15" hidden="false" customHeight="false" outlineLevel="0" collapsed="false">
      <c r="A459" s="13" t="s">
        <v>89</v>
      </c>
      <c r="B459" s="13" t="s">
        <v>50</v>
      </c>
      <c r="C459" s="13" t="s">
        <v>102</v>
      </c>
      <c r="D459" s="9" t="n">
        <v>45658</v>
      </c>
      <c r="E459" s="26" t="n">
        <v>2.58</v>
      </c>
      <c r="F459" s="26" t="n">
        <v>3.6</v>
      </c>
      <c r="G459" s="11" t="n">
        <f aca="false">IF(E459=0,"",F459/E459)</f>
        <v>1.3953488372093</v>
      </c>
      <c r="H459" s="27" t="n">
        <v>992.66</v>
      </c>
      <c r="I459" s="27" t="n">
        <v>1386</v>
      </c>
      <c r="J459" s="27" t="n">
        <v>1386</v>
      </c>
      <c r="K459" s="11" t="n">
        <f aca="false">IF(I459=0,"",J459/I459)</f>
        <v>1</v>
      </c>
    </row>
    <row r="460" customFormat="false" ht="15" hidden="false" customHeight="false" outlineLevel="0" collapsed="false">
      <c r="A460" s="13" t="s">
        <v>89</v>
      </c>
      <c r="B460" s="13" t="s">
        <v>50</v>
      </c>
      <c r="C460" s="13" t="s">
        <v>99</v>
      </c>
      <c r="D460" s="9" t="n">
        <v>45689</v>
      </c>
      <c r="E460" s="26" t="n">
        <v>18.21</v>
      </c>
      <c r="F460" s="26" t="n">
        <v>27.6</v>
      </c>
      <c r="G460" s="11" t="n">
        <f aca="false">IF(E460=0,"",F460/E460)</f>
        <v>1.51565074135091</v>
      </c>
      <c r="H460" s="27" t="n">
        <v>2822.64</v>
      </c>
      <c r="I460" s="27" t="n">
        <v>4278</v>
      </c>
      <c r="J460" s="27" t="n">
        <v>4278</v>
      </c>
      <c r="K460" s="11" t="n">
        <f aca="false">IF(I460=0,"",J460/I460)</f>
        <v>1</v>
      </c>
    </row>
    <row r="461" customFormat="false" ht="15" hidden="false" customHeight="false" outlineLevel="0" collapsed="false">
      <c r="A461" s="13" t="s">
        <v>89</v>
      </c>
      <c r="B461" s="13" t="s">
        <v>50</v>
      </c>
      <c r="C461" s="13" t="s">
        <v>100</v>
      </c>
      <c r="D461" s="9" t="n">
        <v>45689</v>
      </c>
      <c r="E461" s="26" t="n">
        <v>25.2</v>
      </c>
      <c r="F461" s="26" t="n">
        <v>38.9</v>
      </c>
      <c r="G461" s="11" t="n">
        <f aca="false">IF(E461=0,"",F461/E461)</f>
        <v>1.54365079365079</v>
      </c>
      <c r="H461" s="27" t="n">
        <v>5291.66</v>
      </c>
      <c r="I461" s="27" t="n">
        <v>8169</v>
      </c>
      <c r="J461" s="27" t="n">
        <v>8604.5</v>
      </c>
      <c r="K461" s="11" t="n">
        <f aca="false">IF(I461=0,"",J461/I461)</f>
        <v>1.05331129881258</v>
      </c>
    </row>
    <row r="462" customFormat="false" ht="15" hidden="false" customHeight="false" outlineLevel="0" collapsed="false">
      <c r="A462" s="13" t="s">
        <v>89</v>
      </c>
      <c r="B462" s="13" t="s">
        <v>50</v>
      </c>
      <c r="C462" s="13" t="s">
        <v>101</v>
      </c>
      <c r="D462" s="9" t="n">
        <v>45689</v>
      </c>
      <c r="E462" s="26" t="n">
        <v>9.53</v>
      </c>
      <c r="F462" s="26" t="n">
        <v>13.9</v>
      </c>
      <c r="G462" s="11" t="n">
        <f aca="false">IF(E462=0,"",F462/E462)</f>
        <v>1.4585519412382</v>
      </c>
      <c r="H462" s="27" t="n">
        <v>2620.42</v>
      </c>
      <c r="I462" s="27" t="n">
        <v>3822.5</v>
      </c>
      <c r="J462" s="27" t="n">
        <v>3822.5</v>
      </c>
      <c r="K462" s="11" t="n">
        <f aca="false">IF(I462=0,"",J462/I462)</f>
        <v>1</v>
      </c>
    </row>
    <row r="463" customFormat="false" ht="15" hidden="false" customHeight="false" outlineLevel="0" collapsed="false">
      <c r="A463" s="13" t="s">
        <v>89</v>
      </c>
      <c r="B463" s="13" t="s">
        <v>50</v>
      </c>
      <c r="C463" s="13" t="s">
        <v>102</v>
      </c>
      <c r="D463" s="9" t="n">
        <v>45689</v>
      </c>
      <c r="E463" s="26" t="n">
        <v>3.88</v>
      </c>
      <c r="F463" s="26" t="n">
        <v>5.3</v>
      </c>
      <c r="G463" s="11" t="n">
        <f aca="false">IF(E463=0,"",F463/E463)</f>
        <v>1.3659793814433</v>
      </c>
      <c r="H463" s="27" t="n">
        <v>1494.61</v>
      </c>
      <c r="I463" s="27" t="n">
        <v>2040.5</v>
      </c>
      <c r="J463" s="27" t="n">
        <v>2040.5</v>
      </c>
      <c r="K463" s="11" t="n">
        <f aca="false">IF(I463=0,"",J463/I463)</f>
        <v>1</v>
      </c>
    </row>
    <row r="464" customFormat="false" ht="15" hidden="false" customHeight="false" outlineLevel="0" collapsed="false">
      <c r="A464" s="13" t="s">
        <v>89</v>
      </c>
      <c r="B464" s="13" t="s">
        <v>50</v>
      </c>
      <c r="C464" s="13" t="s">
        <v>99</v>
      </c>
      <c r="D464" s="9" t="n">
        <v>45717</v>
      </c>
      <c r="E464" s="26" t="n">
        <v>23.73</v>
      </c>
      <c r="F464" s="26" t="n">
        <v>32</v>
      </c>
      <c r="G464" s="11" t="n">
        <f aca="false">IF(E464=0,"",F464/E464)</f>
        <v>1.34850400337126</v>
      </c>
      <c r="H464" s="27" t="n">
        <v>3677.81</v>
      </c>
      <c r="I464" s="27" t="n">
        <v>4960</v>
      </c>
      <c r="J464" s="27" t="n">
        <v>4960</v>
      </c>
      <c r="K464" s="11" t="n">
        <f aca="false">IF(I464=0,"",J464/I464)</f>
        <v>1</v>
      </c>
    </row>
    <row r="465" customFormat="false" ht="15" hidden="false" customHeight="false" outlineLevel="0" collapsed="false">
      <c r="A465" s="13" t="s">
        <v>89</v>
      </c>
      <c r="B465" s="13" t="s">
        <v>50</v>
      </c>
      <c r="C465" s="13" t="s">
        <v>100</v>
      </c>
      <c r="D465" s="9" t="n">
        <v>45717</v>
      </c>
      <c r="E465" s="26" t="n">
        <v>32.83</v>
      </c>
      <c r="F465" s="26" t="n">
        <v>46.7</v>
      </c>
      <c r="G465" s="11" t="n">
        <f aca="false">IF(E465=0,"",F465/E465)</f>
        <v>1.42247943953701</v>
      </c>
      <c r="H465" s="27" t="n">
        <v>6894.86</v>
      </c>
      <c r="I465" s="27" t="n">
        <v>9807</v>
      </c>
      <c r="J465" s="27" t="n">
        <v>9807</v>
      </c>
      <c r="K465" s="11" t="n">
        <f aca="false">IF(I465=0,"",J465/I465)</f>
        <v>1</v>
      </c>
    </row>
    <row r="466" customFormat="false" ht="15" hidden="false" customHeight="false" outlineLevel="0" collapsed="false">
      <c r="A466" s="13" t="s">
        <v>89</v>
      </c>
      <c r="B466" s="13" t="s">
        <v>50</v>
      </c>
      <c r="C466" s="13" t="s">
        <v>101</v>
      </c>
      <c r="D466" s="9" t="n">
        <v>45717</v>
      </c>
      <c r="E466" s="26" t="n">
        <v>12.42</v>
      </c>
      <c r="F466" s="26" t="n">
        <v>15.1</v>
      </c>
      <c r="G466" s="11" t="n">
        <f aca="false">IF(E466=0,"",F466/E466)</f>
        <v>1.21578099838969</v>
      </c>
      <c r="H466" s="27" t="n">
        <v>3414.32</v>
      </c>
      <c r="I466" s="27" t="n">
        <v>4152.5</v>
      </c>
      <c r="J466" s="27" t="n">
        <v>4152.5</v>
      </c>
      <c r="K466" s="11" t="n">
        <f aca="false">IF(I466=0,"",J466/I466)</f>
        <v>1</v>
      </c>
    </row>
    <row r="467" customFormat="false" ht="15" hidden="false" customHeight="false" outlineLevel="0" collapsed="false">
      <c r="A467" s="13" t="s">
        <v>89</v>
      </c>
      <c r="B467" s="13" t="s">
        <v>50</v>
      </c>
      <c r="C467" s="13" t="s">
        <v>102</v>
      </c>
      <c r="D467" s="9" t="n">
        <v>45717</v>
      </c>
      <c r="E467" s="26" t="n">
        <v>5.06</v>
      </c>
      <c r="F467" s="26" t="n">
        <v>2.2</v>
      </c>
      <c r="G467" s="11" t="n">
        <f aca="false">IF(E467=0,"",F467/E467)</f>
        <v>0.434782608695652</v>
      </c>
      <c r="H467" s="27" t="n">
        <v>1947.43</v>
      </c>
      <c r="I467" s="27" t="n">
        <v>847</v>
      </c>
      <c r="J467" s="27" t="n">
        <v>847</v>
      </c>
      <c r="K467" s="11" t="n">
        <f aca="false">IF(I467=0,"",J467/I467)</f>
        <v>1</v>
      </c>
    </row>
    <row r="468" customFormat="false" ht="15" hidden="false" customHeight="false" outlineLevel="0" collapsed="false">
      <c r="A468" s="13" t="s">
        <v>89</v>
      </c>
      <c r="B468" s="13" t="s">
        <v>50</v>
      </c>
      <c r="C468" s="13" t="s">
        <v>99</v>
      </c>
      <c r="D468" s="9" t="n">
        <v>45748</v>
      </c>
      <c r="E468" s="26" t="n">
        <v>28.11</v>
      </c>
      <c r="F468" s="26" t="n">
        <v>36.1</v>
      </c>
      <c r="G468" s="11" t="n">
        <f aca="false">IF(E468=0,"",F468/E468)</f>
        <v>1.28424048381359</v>
      </c>
      <c r="H468" s="27" t="n">
        <v>4356.48</v>
      </c>
      <c r="I468" s="27" t="n">
        <v>5595.5</v>
      </c>
      <c r="J468" s="27" t="n">
        <v>5595.5</v>
      </c>
      <c r="K468" s="11" t="n">
        <f aca="false">IF(I468=0,"",J468/I468)</f>
        <v>1</v>
      </c>
    </row>
    <row r="469" customFormat="false" ht="15" hidden="false" customHeight="false" outlineLevel="0" collapsed="false">
      <c r="A469" s="13" t="s">
        <v>89</v>
      </c>
      <c r="B469" s="13" t="s">
        <v>50</v>
      </c>
      <c r="C469" s="13" t="s">
        <v>100</v>
      </c>
      <c r="D469" s="9" t="n">
        <v>45748</v>
      </c>
      <c r="E469" s="26" t="n">
        <v>38.89</v>
      </c>
      <c r="F469" s="26" t="n">
        <v>44.2</v>
      </c>
      <c r="G469" s="11" t="n">
        <f aca="false">IF(E469=0,"",F469/E469)</f>
        <v>1.13653895602983</v>
      </c>
      <c r="H469" s="27" t="n">
        <v>8167.17</v>
      </c>
      <c r="I469" s="27" t="n">
        <v>9282</v>
      </c>
      <c r="J469" s="27" t="n">
        <v>9282</v>
      </c>
      <c r="K469" s="11" t="n">
        <f aca="false">IF(I469=0,"",J469/I469)</f>
        <v>1</v>
      </c>
    </row>
    <row r="470" customFormat="false" ht="15" hidden="false" customHeight="false" outlineLevel="0" collapsed="false">
      <c r="A470" s="13" t="s">
        <v>89</v>
      </c>
      <c r="B470" s="13" t="s">
        <v>50</v>
      </c>
      <c r="C470" s="13" t="s">
        <v>101</v>
      </c>
      <c r="D470" s="9" t="n">
        <v>45748</v>
      </c>
      <c r="E470" s="26" t="n">
        <v>14.71</v>
      </c>
      <c r="F470" s="26" t="n">
        <v>23.1</v>
      </c>
      <c r="G470" s="11" t="n">
        <f aca="false">IF(E470=0,"",F470/E470)</f>
        <v>1.57036029911625</v>
      </c>
      <c r="H470" s="27" t="n">
        <v>4044.37</v>
      </c>
      <c r="I470" s="27" t="n">
        <v>6352.5</v>
      </c>
      <c r="J470" s="27" t="n">
        <v>6352.5</v>
      </c>
      <c r="K470" s="11" t="n">
        <f aca="false">IF(I470=0,"",J470/I470)</f>
        <v>1</v>
      </c>
    </row>
    <row r="471" customFormat="false" ht="15" hidden="false" customHeight="false" outlineLevel="0" collapsed="false">
      <c r="A471" s="13" t="s">
        <v>89</v>
      </c>
      <c r="B471" s="13" t="s">
        <v>50</v>
      </c>
      <c r="C471" s="13" t="s">
        <v>102</v>
      </c>
      <c r="D471" s="9" t="n">
        <v>45748</v>
      </c>
      <c r="E471" s="26" t="n">
        <v>5.99</v>
      </c>
      <c r="F471" s="26" t="n">
        <v>9.4</v>
      </c>
      <c r="G471" s="11" t="n">
        <f aca="false">IF(E471=0,"",F471/E471)</f>
        <v>1.56928213689482</v>
      </c>
      <c r="H471" s="27" t="n">
        <v>2306.79</v>
      </c>
      <c r="I471" s="27" t="n">
        <v>3619</v>
      </c>
      <c r="J471" s="27" t="n">
        <v>3619</v>
      </c>
      <c r="K471" s="11" t="n">
        <f aca="false">IF(I471=0,"",J471/I471)</f>
        <v>1</v>
      </c>
    </row>
    <row r="472" customFormat="false" ht="15" hidden="false" customHeight="false" outlineLevel="0" collapsed="false">
      <c r="A472" s="13" t="s">
        <v>89</v>
      </c>
      <c r="B472" s="13" t="s">
        <v>50</v>
      </c>
      <c r="C472" s="13" t="s">
        <v>99</v>
      </c>
      <c r="D472" s="9" t="n">
        <v>45778</v>
      </c>
      <c r="E472" s="26" t="n">
        <v>30.92</v>
      </c>
      <c r="F472" s="26" t="n">
        <v>28</v>
      </c>
      <c r="G472" s="11" t="n">
        <f aca="false">IF(E472=0,"",F472/E472)</f>
        <v>0.905562742561449</v>
      </c>
      <c r="H472" s="27" t="n">
        <v>4792.21</v>
      </c>
      <c r="I472" s="27" t="n">
        <v>4340</v>
      </c>
      <c r="J472" s="27" t="n">
        <v>4340</v>
      </c>
      <c r="K472" s="11" t="n">
        <f aca="false">IF(I472=0,"",J472/I472)</f>
        <v>1</v>
      </c>
    </row>
    <row r="473" customFormat="false" ht="15" hidden="false" customHeight="false" outlineLevel="0" collapsed="false">
      <c r="A473" s="13" t="s">
        <v>89</v>
      </c>
      <c r="B473" s="13" t="s">
        <v>50</v>
      </c>
      <c r="C473" s="13" t="s">
        <v>100</v>
      </c>
      <c r="D473" s="9" t="n">
        <v>45778</v>
      </c>
      <c r="E473" s="26" t="n">
        <v>42.78</v>
      </c>
      <c r="F473" s="26" t="n">
        <v>37.8</v>
      </c>
      <c r="G473" s="11" t="n">
        <f aca="false">IF(E473=0,"",F473/E473)</f>
        <v>0.8835904628331</v>
      </c>
      <c r="H473" s="27" t="n">
        <v>8984.04</v>
      </c>
      <c r="I473" s="27" t="n">
        <v>7938</v>
      </c>
      <c r="J473" s="27" t="n">
        <v>7938</v>
      </c>
      <c r="K473" s="11" t="n">
        <f aca="false">IF(I473=0,"",J473/I473)</f>
        <v>1</v>
      </c>
    </row>
    <row r="474" customFormat="false" ht="15" hidden="false" customHeight="false" outlineLevel="0" collapsed="false">
      <c r="A474" s="13" t="s">
        <v>89</v>
      </c>
      <c r="B474" s="13" t="s">
        <v>50</v>
      </c>
      <c r="C474" s="13" t="s">
        <v>101</v>
      </c>
      <c r="D474" s="9" t="n">
        <v>45778</v>
      </c>
      <c r="E474" s="26" t="n">
        <v>16.18</v>
      </c>
      <c r="F474" s="26" t="n">
        <v>20.5</v>
      </c>
      <c r="G474" s="11" t="n">
        <f aca="false">IF(E474=0,"",F474/E474)</f>
        <v>1.26699629171817</v>
      </c>
      <c r="H474" s="27" t="n">
        <v>4448.88</v>
      </c>
      <c r="I474" s="27" t="n">
        <v>5637.5</v>
      </c>
      <c r="J474" s="27" t="n">
        <v>5637.5</v>
      </c>
      <c r="K474" s="11" t="n">
        <f aca="false">IF(I474=0,"",J474/I474)</f>
        <v>1</v>
      </c>
    </row>
    <row r="475" customFormat="false" ht="15" hidden="false" customHeight="false" outlineLevel="0" collapsed="false">
      <c r="A475" s="13" t="s">
        <v>89</v>
      </c>
      <c r="B475" s="13" t="s">
        <v>50</v>
      </c>
      <c r="C475" s="13" t="s">
        <v>102</v>
      </c>
      <c r="D475" s="9" t="n">
        <v>45778</v>
      </c>
      <c r="E475" s="26" t="n">
        <v>6.59</v>
      </c>
      <c r="F475" s="26" t="n">
        <v>9.4</v>
      </c>
      <c r="G475" s="11" t="n">
        <f aca="false">IF(E475=0,"",F475/E475)</f>
        <v>1.42640364188164</v>
      </c>
      <c r="H475" s="27" t="n">
        <v>2537.51</v>
      </c>
      <c r="I475" s="27" t="n">
        <v>3619</v>
      </c>
      <c r="J475" s="27" t="n">
        <v>3619</v>
      </c>
      <c r="K475" s="11" t="n">
        <f aca="false">IF(I475=0,"",J475/I475)</f>
        <v>1</v>
      </c>
    </row>
    <row r="476" customFormat="false" ht="15" hidden="false" customHeight="false" outlineLevel="0" collapsed="false">
      <c r="A476" s="13" t="s">
        <v>89</v>
      </c>
      <c r="B476" s="13" t="s">
        <v>50</v>
      </c>
      <c r="C476" s="13" t="s">
        <v>99</v>
      </c>
      <c r="D476" s="9" t="n">
        <v>45809</v>
      </c>
      <c r="E476" s="26" t="n">
        <v>31.89</v>
      </c>
      <c r="F476" s="26" t="n">
        <v>33.9</v>
      </c>
      <c r="G476" s="11" t="n">
        <f aca="false">IF(E476=0,"",F476/E476)</f>
        <v>1.06302916274694</v>
      </c>
      <c r="H476" s="27" t="n">
        <v>4942.35</v>
      </c>
      <c r="I476" s="27" t="n">
        <v>5254.5</v>
      </c>
      <c r="J476" s="27" t="n">
        <v>5254.5</v>
      </c>
      <c r="K476" s="11" t="n">
        <f aca="false">IF(I476=0,"",J476/I476)</f>
        <v>1</v>
      </c>
    </row>
    <row r="477" customFormat="false" ht="15" hidden="false" customHeight="false" outlineLevel="0" collapsed="false">
      <c r="A477" s="13" t="s">
        <v>89</v>
      </c>
      <c r="B477" s="13" t="s">
        <v>50</v>
      </c>
      <c r="C477" s="13" t="s">
        <v>100</v>
      </c>
      <c r="D477" s="9" t="n">
        <v>45809</v>
      </c>
      <c r="E477" s="26" t="n">
        <v>44.12</v>
      </c>
      <c r="F477" s="26" t="n">
        <v>44.7</v>
      </c>
      <c r="G477" s="11" t="n">
        <f aca="false">IF(E477=0,"",F477/E477)</f>
        <v>1.0131459655485</v>
      </c>
      <c r="H477" s="27" t="n">
        <v>9265.51</v>
      </c>
      <c r="I477" s="27" t="n">
        <v>9387</v>
      </c>
      <c r="J477" s="27" t="n">
        <v>9387</v>
      </c>
      <c r="K477" s="11" t="n">
        <f aca="false">IF(I477=0,"",J477/I477)</f>
        <v>1</v>
      </c>
    </row>
    <row r="478" customFormat="false" ht="15" hidden="false" customHeight="false" outlineLevel="0" collapsed="false">
      <c r="A478" s="13" t="s">
        <v>89</v>
      </c>
      <c r="B478" s="13" t="s">
        <v>50</v>
      </c>
      <c r="C478" s="13" t="s">
        <v>101</v>
      </c>
      <c r="D478" s="9" t="n">
        <v>45809</v>
      </c>
      <c r="E478" s="26" t="n">
        <v>16.68</v>
      </c>
      <c r="F478" s="26" t="n">
        <v>20.3</v>
      </c>
      <c r="G478" s="11" t="n">
        <f aca="false">IF(E478=0,"",F478/E478)</f>
        <v>1.21702637889688</v>
      </c>
      <c r="H478" s="27" t="n">
        <v>4588.26</v>
      </c>
      <c r="I478" s="27" t="n">
        <v>5582.5</v>
      </c>
      <c r="J478" s="27" t="n">
        <v>6385.5</v>
      </c>
      <c r="K478" s="11" t="n">
        <f aca="false">IF(I478=0,"",J478/I478)</f>
        <v>1.14384236453202</v>
      </c>
    </row>
    <row r="479" customFormat="false" ht="15" hidden="false" customHeight="false" outlineLevel="0" collapsed="false">
      <c r="A479" s="13" t="s">
        <v>89</v>
      </c>
      <c r="B479" s="13" t="s">
        <v>50</v>
      </c>
      <c r="C479" s="13" t="s">
        <v>102</v>
      </c>
      <c r="D479" s="9" t="n">
        <v>45809</v>
      </c>
      <c r="E479" s="26" t="n">
        <v>6.8</v>
      </c>
      <c r="F479" s="26" t="n">
        <v>4.1</v>
      </c>
      <c r="G479" s="11" t="n">
        <f aca="false">IF(E479=0,"",F479/E479)</f>
        <v>0.602941176470588</v>
      </c>
      <c r="H479" s="27" t="n">
        <v>2617.01</v>
      </c>
      <c r="I479" s="27" t="n">
        <v>1578.5</v>
      </c>
      <c r="J479" s="27" t="n">
        <v>1578.5</v>
      </c>
      <c r="K479" s="11" t="n">
        <f aca="false">IF(I479=0,"",J479/I479)</f>
        <v>1</v>
      </c>
    </row>
    <row r="480" customFormat="false" ht="15" hidden="false" customHeight="false" outlineLevel="0" collapsed="false">
      <c r="A480" s="13" t="s">
        <v>89</v>
      </c>
      <c r="B480" s="13" t="s">
        <v>50</v>
      </c>
      <c r="C480" s="13" t="s">
        <v>99</v>
      </c>
      <c r="D480" s="9" t="n">
        <v>45839</v>
      </c>
      <c r="E480" s="26" t="n">
        <v>30.92</v>
      </c>
      <c r="F480" s="26" t="n">
        <v>20.2</v>
      </c>
      <c r="G480" s="11" t="n">
        <f aca="false">IF(E480=0,"",F480/E480)</f>
        <v>0.653298835705045</v>
      </c>
      <c r="H480" s="27" t="n">
        <v>4792.21</v>
      </c>
      <c r="I480" s="27" t="n">
        <v>3131</v>
      </c>
      <c r="J480" s="27" t="n">
        <v>3131</v>
      </c>
      <c r="K480" s="11" t="n">
        <f aca="false">IF(I480=0,"",J480/I480)</f>
        <v>1</v>
      </c>
    </row>
    <row r="481" customFormat="false" ht="15" hidden="false" customHeight="false" outlineLevel="0" collapsed="false">
      <c r="A481" s="13" t="s">
        <v>89</v>
      </c>
      <c r="B481" s="13" t="s">
        <v>50</v>
      </c>
      <c r="C481" s="13" t="s">
        <v>100</v>
      </c>
      <c r="D481" s="9" t="n">
        <v>45839</v>
      </c>
      <c r="E481" s="26" t="n">
        <v>42.78</v>
      </c>
      <c r="F481" s="26" t="n">
        <v>35.6</v>
      </c>
      <c r="G481" s="11" t="n">
        <f aca="false">IF(E481=0,"",F481/E481)</f>
        <v>0.83216456287985</v>
      </c>
      <c r="H481" s="27" t="n">
        <v>8984.04</v>
      </c>
      <c r="I481" s="27" t="n">
        <v>7476</v>
      </c>
      <c r="J481" s="27" t="n">
        <v>7476</v>
      </c>
      <c r="K481" s="11" t="n">
        <f aca="false">IF(I481=0,"",J481/I481)</f>
        <v>1</v>
      </c>
    </row>
    <row r="482" customFormat="false" ht="15" hidden="false" customHeight="false" outlineLevel="0" collapsed="false">
      <c r="A482" s="13" t="s">
        <v>89</v>
      </c>
      <c r="B482" s="13" t="s">
        <v>50</v>
      </c>
      <c r="C482" s="13" t="s">
        <v>101</v>
      </c>
      <c r="D482" s="9" t="n">
        <v>45839</v>
      </c>
      <c r="E482" s="26" t="n">
        <v>16.18</v>
      </c>
      <c r="F482" s="26" t="n">
        <v>15.2</v>
      </c>
      <c r="G482" s="11" t="n">
        <f aca="false">IF(E482=0,"",F482/E482)</f>
        <v>0.939431396786156</v>
      </c>
      <c r="H482" s="27" t="n">
        <v>4448.88</v>
      </c>
      <c r="I482" s="27" t="n">
        <v>4180</v>
      </c>
      <c r="J482" s="27" t="n">
        <v>4180</v>
      </c>
      <c r="K482" s="11" t="n">
        <f aca="false">IF(I482=0,"",J482/I482)</f>
        <v>1</v>
      </c>
    </row>
    <row r="483" customFormat="false" ht="15" hidden="false" customHeight="false" outlineLevel="0" collapsed="false">
      <c r="A483" s="13" t="s">
        <v>89</v>
      </c>
      <c r="B483" s="13" t="s">
        <v>50</v>
      </c>
      <c r="C483" s="13" t="s">
        <v>102</v>
      </c>
      <c r="D483" s="9" t="n">
        <v>45839</v>
      </c>
      <c r="E483" s="26" t="n">
        <v>6.59</v>
      </c>
      <c r="F483" s="26" t="n">
        <v>3.6</v>
      </c>
      <c r="G483" s="11" t="n">
        <f aca="false">IF(E483=0,"",F483/E483)</f>
        <v>0.546282245827011</v>
      </c>
      <c r="H483" s="27" t="n">
        <v>2537.51</v>
      </c>
      <c r="I483" s="27" t="n">
        <v>1386</v>
      </c>
      <c r="J483" s="27" t="n">
        <v>1386</v>
      </c>
      <c r="K483" s="11" t="n">
        <f aca="false">IF(I483=0,"",J483/I483)</f>
        <v>1</v>
      </c>
    </row>
    <row r="484" customFormat="false" ht="15" hidden="false" customHeight="false" outlineLevel="0" collapsed="false">
      <c r="A484" s="13" t="s">
        <v>89</v>
      </c>
      <c r="B484" s="13" t="s">
        <v>50</v>
      </c>
      <c r="C484" s="13" t="s">
        <v>99</v>
      </c>
      <c r="D484" s="9" t="n">
        <v>45870</v>
      </c>
      <c r="E484" s="26" t="n">
        <v>28.11</v>
      </c>
      <c r="F484" s="26" t="n">
        <v>17</v>
      </c>
      <c r="G484" s="11" t="n">
        <f aca="false">IF(E484=0,"",F484/E484)</f>
        <v>0.604766986837425</v>
      </c>
      <c r="H484" s="27" t="n">
        <v>4356.48</v>
      </c>
      <c r="I484" s="27" t="n">
        <v>2635</v>
      </c>
      <c r="J484" s="27" t="n">
        <v>2635</v>
      </c>
      <c r="K484" s="11" t="n">
        <f aca="false">IF(I484=0,"",J484/I484)</f>
        <v>1</v>
      </c>
    </row>
    <row r="485" customFormat="false" ht="15" hidden="false" customHeight="false" outlineLevel="0" collapsed="false">
      <c r="A485" s="13" t="s">
        <v>89</v>
      </c>
      <c r="B485" s="13" t="s">
        <v>50</v>
      </c>
      <c r="C485" s="13" t="s">
        <v>100</v>
      </c>
      <c r="D485" s="9" t="n">
        <v>45870</v>
      </c>
      <c r="E485" s="26" t="n">
        <v>38.89</v>
      </c>
      <c r="F485" s="26" t="n">
        <v>20.4</v>
      </c>
      <c r="G485" s="11" t="n">
        <f aca="false">IF(E485=0,"",F485/E485)</f>
        <v>0.524556441244536</v>
      </c>
      <c r="H485" s="27" t="n">
        <v>8167.17</v>
      </c>
      <c r="I485" s="27" t="n">
        <v>4284</v>
      </c>
      <c r="J485" s="27" t="n">
        <v>4284</v>
      </c>
      <c r="K485" s="11" t="n">
        <f aca="false">IF(I485=0,"",J485/I485)</f>
        <v>1</v>
      </c>
    </row>
    <row r="486" customFormat="false" ht="15" hidden="false" customHeight="false" outlineLevel="0" collapsed="false">
      <c r="A486" s="13" t="s">
        <v>89</v>
      </c>
      <c r="B486" s="13" t="s">
        <v>50</v>
      </c>
      <c r="C486" s="13" t="s">
        <v>101</v>
      </c>
      <c r="D486" s="9" t="n">
        <v>45870</v>
      </c>
      <c r="E486" s="26" t="n">
        <v>14.71</v>
      </c>
      <c r="F486" s="26" t="n">
        <v>4.2</v>
      </c>
      <c r="G486" s="11" t="n">
        <f aca="false">IF(E486=0,"",F486/E486)</f>
        <v>0.285520054384772</v>
      </c>
      <c r="H486" s="27" t="n">
        <v>4044.37</v>
      </c>
      <c r="I486" s="27" t="n">
        <v>1155</v>
      </c>
      <c r="J486" s="27" t="n">
        <v>1155</v>
      </c>
      <c r="K486" s="11" t="n">
        <f aca="false">IF(I486=0,"",J486/I486)</f>
        <v>1</v>
      </c>
    </row>
    <row r="487" customFormat="false" ht="15" hidden="false" customHeight="false" outlineLevel="0" collapsed="false">
      <c r="A487" s="13" t="s">
        <v>89</v>
      </c>
      <c r="B487" s="13" t="s">
        <v>50</v>
      </c>
      <c r="C487" s="13" t="s">
        <v>102</v>
      </c>
      <c r="D487" s="9" t="n">
        <v>45870</v>
      </c>
      <c r="E487" s="26" t="n">
        <v>5.99</v>
      </c>
      <c r="F487" s="26" t="n">
        <v>3.6</v>
      </c>
      <c r="G487" s="11" t="n">
        <f aca="false">IF(E487=0,"",F487/E487)</f>
        <v>0.601001669449082</v>
      </c>
      <c r="H487" s="27" t="n">
        <v>2306.79</v>
      </c>
      <c r="I487" s="27" t="n">
        <v>1386</v>
      </c>
      <c r="J487" s="27" t="n">
        <v>1386</v>
      </c>
      <c r="K487" s="11" t="n">
        <f aca="false">IF(I487=0,"",J487/I487)</f>
        <v>1</v>
      </c>
    </row>
    <row r="488" customFormat="false" ht="15" hidden="false" customHeight="false" outlineLevel="0" collapsed="false">
      <c r="A488" s="13" t="s">
        <v>91</v>
      </c>
      <c r="B488" s="13" t="s">
        <v>54</v>
      </c>
      <c r="C488" s="13" t="s">
        <v>99</v>
      </c>
      <c r="D488" s="9" t="n">
        <v>45689</v>
      </c>
      <c r="E488" s="26" t="n">
        <v>14.95</v>
      </c>
      <c r="F488" s="26" t="n">
        <v>9.2</v>
      </c>
      <c r="G488" s="11" t="n">
        <f aca="false">IF(E488=0,"",F488/E488)</f>
        <v>0.615384615384615</v>
      </c>
      <c r="H488" s="27" t="n">
        <v>2317.85</v>
      </c>
      <c r="I488" s="27" t="n">
        <v>1426</v>
      </c>
      <c r="J488" s="27" t="n">
        <v>1426</v>
      </c>
      <c r="K488" s="11" t="n">
        <f aca="false">IF(I488=0,"",J488/I488)</f>
        <v>1</v>
      </c>
    </row>
    <row r="489" customFormat="false" ht="15" hidden="false" customHeight="false" outlineLevel="0" collapsed="false">
      <c r="A489" s="13" t="s">
        <v>91</v>
      </c>
      <c r="B489" s="13" t="s">
        <v>54</v>
      </c>
      <c r="C489" s="13" t="s">
        <v>100</v>
      </c>
      <c r="D489" s="9" t="n">
        <v>45689</v>
      </c>
      <c r="E489" s="26" t="n">
        <v>21.44</v>
      </c>
      <c r="F489" s="26" t="n">
        <v>21.4</v>
      </c>
      <c r="G489" s="11" t="n">
        <f aca="false">IF(E489=0,"",F489/E489)</f>
        <v>0.998134328358209</v>
      </c>
      <c r="H489" s="27" t="n">
        <v>4502.18</v>
      </c>
      <c r="I489" s="27" t="n">
        <v>4494</v>
      </c>
      <c r="J489" s="27" t="n">
        <v>4494</v>
      </c>
      <c r="K489" s="11" t="n">
        <f aca="false">IF(I489=0,"",J489/I489)</f>
        <v>1</v>
      </c>
    </row>
    <row r="490" customFormat="false" ht="15" hidden="false" customHeight="false" outlineLevel="0" collapsed="false">
      <c r="A490" s="13" t="s">
        <v>91</v>
      </c>
      <c r="B490" s="13" t="s">
        <v>54</v>
      </c>
      <c r="C490" s="13" t="s">
        <v>101</v>
      </c>
      <c r="D490" s="9" t="n">
        <v>45689</v>
      </c>
      <c r="E490" s="26" t="n">
        <v>6.87</v>
      </c>
      <c r="F490" s="26" t="n">
        <v>6.6</v>
      </c>
      <c r="G490" s="11" t="n">
        <f aca="false">IF(E490=0,"",F490/E490)</f>
        <v>0.960698689956332</v>
      </c>
      <c r="H490" s="27" t="n">
        <v>1888.31</v>
      </c>
      <c r="I490" s="27" t="n">
        <v>1815</v>
      </c>
      <c r="J490" s="27" t="n">
        <v>1815</v>
      </c>
      <c r="K490" s="11" t="n">
        <f aca="false">IF(I490=0,"",J490/I490)</f>
        <v>1</v>
      </c>
    </row>
    <row r="491" customFormat="false" ht="15" hidden="false" customHeight="false" outlineLevel="0" collapsed="false">
      <c r="A491" s="13" t="s">
        <v>91</v>
      </c>
      <c r="B491" s="13" t="s">
        <v>54</v>
      </c>
      <c r="C491" s="13" t="s">
        <v>102</v>
      </c>
      <c r="D491" s="9" t="n">
        <v>45689</v>
      </c>
      <c r="E491" s="26" t="n">
        <v>2.75</v>
      </c>
      <c r="F491" s="26" t="n">
        <v>2.7</v>
      </c>
      <c r="G491" s="11" t="n">
        <f aca="false">IF(E491=0,"",F491/E491)</f>
        <v>0.981818181818182</v>
      </c>
      <c r="H491" s="27" t="n">
        <v>1057.45</v>
      </c>
      <c r="I491" s="27" t="n">
        <v>1039.5</v>
      </c>
      <c r="J491" s="27" t="n">
        <v>1039.5</v>
      </c>
      <c r="K491" s="11" t="n">
        <f aca="false">IF(I491=0,"",J491/I491)</f>
        <v>1</v>
      </c>
    </row>
    <row r="492" customFormat="false" ht="15" hidden="false" customHeight="false" outlineLevel="0" collapsed="false">
      <c r="A492" s="13" t="s">
        <v>91</v>
      </c>
      <c r="B492" s="13" t="s">
        <v>54</v>
      </c>
      <c r="C492" s="13" t="s">
        <v>99</v>
      </c>
      <c r="D492" s="9" t="n">
        <v>45717</v>
      </c>
      <c r="E492" s="26" t="n">
        <v>27.19</v>
      </c>
      <c r="F492" s="26" t="n">
        <v>26.2</v>
      </c>
      <c r="G492" s="11" t="n">
        <f aca="false">IF(E492=0,"",F492/E492)</f>
        <v>0.96358955498345</v>
      </c>
      <c r="H492" s="27" t="n">
        <v>4214.27</v>
      </c>
      <c r="I492" s="27" t="n">
        <v>4061</v>
      </c>
      <c r="J492" s="27" t="n">
        <v>4061</v>
      </c>
      <c r="K492" s="11" t="n">
        <f aca="false">IF(I492=0,"",J492/I492)</f>
        <v>1</v>
      </c>
    </row>
    <row r="493" customFormat="false" ht="15" hidden="false" customHeight="false" outlineLevel="0" collapsed="false">
      <c r="A493" s="13" t="s">
        <v>91</v>
      </c>
      <c r="B493" s="13" t="s">
        <v>54</v>
      </c>
      <c r="C493" s="13" t="s">
        <v>100</v>
      </c>
      <c r="D493" s="9" t="n">
        <v>45717</v>
      </c>
      <c r="E493" s="26" t="n">
        <v>38.98</v>
      </c>
      <c r="F493" s="26" t="n">
        <v>31.7</v>
      </c>
      <c r="G493" s="11" t="n">
        <f aca="false">IF(E493=0,"",F493/E493)</f>
        <v>0.813237557721909</v>
      </c>
      <c r="H493" s="27" t="n">
        <v>8185.78</v>
      </c>
      <c r="I493" s="27" t="n">
        <v>6657</v>
      </c>
      <c r="J493" s="27" t="n">
        <v>6657</v>
      </c>
      <c r="K493" s="11" t="n">
        <f aca="false">IF(I493=0,"",J493/I493)</f>
        <v>1</v>
      </c>
    </row>
    <row r="494" customFormat="false" ht="15" hidden="false" customHeight="false" outlineLevel="0" collapsed="false">
      <c r="A494" s="13" t="s">
        <v>91</v>
      </c>
      <c r="B494" s="13" t="s">
        <v>54</v>
      </c>
      <c r="C494" s="13" t="s">
        <v>101</v>
      </c>
      <c r="D494" s="9" t="n">
        <v>45717</v>
      </c>
      <c r="E494" s="26" t="n">
        <v>12.48</v>
      </c>
      <c r="F494" s="26" t="n">
        <v>5.7</v>
      </c>
      <c r="G494" s="11" t="n">
        <f aca="false">IF(E494=0,"",F494/E494)</f>
        <v>0.456730769230769</v>
      </c>
      <c r="H494" s="27" t="n">
        <v>3433.28</v>
      </c>
      <c r="I494" s="27" t="n">
        <v>1567.5</v>
      </c>
      <c r="J494" s="27" t="n">
        <v>1567.5</v>
      </c>
      <c r="K494" s="11" t="n">
        <f aca="false">IF(I494=0,"",J494/I494)</f>
        <v>1</v>
      </c>
    </row>
    <row r="495" customFormat="false" ht="15" hidden="false" customHeight="false" outlineLevel="0" collapsed="false">
      <c r="A495" s="13" t="s">
        <v>91</v>
      </c>
      <c r="B495" s="13" t="s">
        <v>54</v>
      </c>
      <c r="C495" s="13" t="s">
        <v>102</v>
      </c>
      <c r="D495" s="9" t="n">
        <v>45717</v>
      </c>
      <c r="E495" s="26" t="n">
        <v>4.99</v>
      </c>
      <c r="F495" s="26" t="n">
        <v>3.7</v>
      </c>
      <c r="G495" s="11" t="n">
        <f aca="false">IF(E495=0,"",F495/E495)</f>
        <v>0.741482965931864</v>
      </c>
      <c r="H495" s="27" t="n">
        <v>1922.64</v>
      </c>
      <c r="I495" s="27" t="n">
        <v>1424.5</v>
      </c>
      <c r="J495" s="27" t="n">
        <v>1424.5</v>
      </c>
      <c r="K495" s="11" t="n">
        <f aca="false">IF(I495=0,"",J495/I495)</f>
        <v>1</v>
      </c>
    </row>
    <row r="496" customFormat="false" ht="15" hidden="false" customHeight="false" outlineLevel="0" collapsed="false">
      <c r="A496" s="13" t="s">
        <v>91</v>
      </c>
      <c r="B496" s="13" t="s">
        <v>54</v>
      </c>
      <c r="C496" s="13" t="s">
        <v>99</v>
      </c>
      <c r="D496" s="9" t="n">
        <v>45748</v>
      </c>
      <c r="E496" s="26" t="n">
        <v>36.15</v>
      </c>
      <c r="F496" s="26" t="n">
        <v>27.9</v>
      </c>
      <c r="G496" s="11" t="n">
        <f aca="false">IF(E496=0,"",F496/E496)</f>
        <v>0.771784232365145</v>
      </c>
      <c r="H496" s="27" t="n">
        <v>5602.54</v>
      </c>
      <c r="I496" s="27" t="n">
        <v>4324.5</v>
      </c>
      <c r="J496" s="27" t="n">
        <v>4324.5</v>
      </c>
      <c r="K496" s="11" t="n">
        <f aca="false">IF(I496=0,"",J496/I496)</f>
        <v>1</v>
      </c>
    </row>
    <row r="497" customFormat="false" ht="15" hidden="false" customHeight="false" outlineLevel="0" collapsed="false">
      <c r="A497" s="13" t="s">
        <v>91</v>
      </c>
      <c r="B497" s="13" t="s">
        <v>54</v>
      </c>
      <c r="C497" s="13" t="s">
        <v>100</v>
      </c>
      <c r="D497" s="9" t="n">
        <v>45748</v>
      </c>
      <c r="E497" s="26" t="n">
        <v>51.82</v>
      </c>
      <c r="F497" s="26" t="n">
        <v>45.3</v>
      </c>
      <c r="G497" s="11" t="n">
        <f aca="false">IF(E497=0,"",F497/E497)</f>
        <v>0.874179853338479</v>
      </c>
      <c r="H497" s="27" t="n">
        <v>10882.36</v>
      </c>
      <c r="I497" s="27" t="n">
        <v>9513</v>
      </c>
      <c r="J497" s="27" t="n">
        <v>9513</v>
      </c>
      <c r="K497" s="11" t="n">
        <f aca="false">IF(I497=0,"",J497/I497)</f>
        <v>1</v>
      </c>
    </row>
    <row r="498" customFormat="false" ht="15" hidden="false" customHeight="false" outlineLevel="0" collapsed="false">
      <c r="A498" s="13" t="s">
        <v>91</v>
      </c>
      <c r="B498" s="13" t="s">
        <v>54</v>
      </c>
      <c r="C498" s="13" t="s">
        <v>101</v>
      </c>
      <c r="D498" s="9" t="n">
        <v>45748</v>
      </c>
      <c r="E498" s="26" t="n">
        <v>16.6</v>
      </c>
      <c r="F498" s="26" t="n">
        <v>14.2</v>
      </c>
      <c r="G498" s="11" t="n">
        <f aca="false">IF(E498=0,"",F498/E498)</f>
        <v>0.855421686746988</v>
      </c>
      <c r="H498" s="27" t="n">
        <v>4564.28</v>
      </c>
      <c r="I498" s="27" t="n">
        <v>3905</v>
      </c>
      <c r="J498" s="27" t="n">
        <v>3905</v>
      </c>
      <c r="K498" s="11" t="n">
        <f aca="false">IF(I498=0,"",J498/I498)</f>
        <v>1</v>
      </c>
    </row>
    <row r="499" customFormat="false" ht="15" hidden="false" customHeight="false" outlineLevel="0" collapsed="false">
      <c r="A499" s="13" t="s">
        <v>91</v>
      </c>
      <c r="B499" s="13" t="s">
        <v>54</v>
      </c>
      <c r="C499" s="13" t="s">
        <v>102</v>
      </c>
      <c r="D499" s="9" t="n">
        <v>45748</v>
      </c>
      <c r="E499" s="26" t="n">
        <v>6.64</v>
      </c>
      <c r="F499" s="26" t="n">
        <v>5.1</v>
      </c>
      <c r="G499" s="11" t="n">
        <f aca="false">IF(E499=0,"",F499/E499)</f>
        <v>0.768072289156627</v>
      </c>
      <c r="H499" s="27" t="n">
        <v>2556</v>
      </c>
      <c r="I499" s="27" t="n">
        <v>1963.5</v>
      </c>
      <c r="J499" s="27" t="n">
        <v>1963.5</v>
      </c>
      <c r="K499" s="11" t="n">
        <f aca="false">IF(I499=0,"",J499/I499)</f>
        <v>1</v>
      </c>
    </row>
    <row r="500" customFormat="false" ht="15" hidden="false" customHeight="false" outlineLevel="0" collapsed="false">
      <c r="A500" s="13" t="s">
        <v>91</v>
      </c>
      <c r="B500" s="13" t="s">
        <v>54</v>
      </c>
      <c r="C500" s="13" t="s">
        <v>99</v>
      </c>
      <c r="D500" s="9" t="n">
        <v>45778</v>
      </c>
      <c r="E500" s="26" t="n">
        <v>39.42</v>
      </c>
      <c r="F500" s="26" t="n">
        <v>39.4</v>
      </c>
      <c r="G500" s="11" t="n">
        <f aca="false">IF(E500=0,"",F500/E500)</f>
        <v>0.99949264332826</v>
      </c>
      <c r="H500" s="27" t="n">
        <v>6110.69</v>
      </c>
      <c r="I500" s="27" t="n">
        <v>6107</v>
      </c>
      <c r="J500" s="27" t="n">
        <v>6107</v>
      </c>
      <c r="K500" s="11" t="n">
        <f aca="false">IF(I500=0,"",J500/I500)</f>
        <v>1</v>
      </c>
    </row>
    <row r="501" customFormat="false" ht="15" hidden="false" customHeight="false" outlineLevel="0" collapsed="false">
      <c r="A501" s="13" t="s">
        <v>91</v>
      </c>
      <c r="B501" s="13" t="s">
        <v>54</v>
      </c>
      <c r="C501" s="13" t="s">
        <v>100</v>
      </c>
      <c r="D501" s="9" t="n">
        <v>45778</v>
      </c>
      <c r="E501" s="26" t="n">
        <v>56.52</v>
      </c>
      <c r="F501" s="26" t="n">
        <v>41.7</v>
      </c>
      <c r="G501" s="11" t="n">
        <f aca="false">IF(E501=0,"",F501/E501)</f>
        <v>0.737791932059448</v>
      </c>
      <c r="H501" s="27" t="n">
        <v>11869.38</v>
      </c>
      <c r="I501" s="27" t="n">
        <v>8757</v>
      </c>
      <c r="J501" s="27" t="n">
        <v>8757</v>
      </c>
      <c r="K501" s="11" t="n">
        <f aca="false">IF(I501=0,"",J501/I501)</f>
        <v>1</v>
      </c>
    </row>
    <row r="502" customFormat="false" ht="15" hidden="false" customHeight="false" outlineLevel="0" collapsed="false">
      <c r="A502" s="13" t="s">
        <v>91</v>
      </c>
      <c r="B502" s="13" t="s">
        <v>54</v>
      </c>
      <c r="C502" s="13" t="s">
        <v>101</v>
      </c>
      <c r="D502" s="9" t="n">
        <v>45778</v>
      </c>
      <c r="E502" s="26" t="n">
        <v>18.1</v>
      </c>
      <c r="F502" s="26" t="n">
        <v>15.9</v>
      </c>
      <c r="G502" s="11" t="n">
        <f aca="false">IF(E502=0,"",F502/E502)</f>
        <v>0.878453038674033</v>
      </c>
      <c r="H502" s="27" t="n">
        <v>4978.26</v>
      </c>
      <c r="I502" s="27" t="n">
        <v>4372.5</v>
      </c>
      <c r="J502" s="27" t="n">
        <v>4372.5</v>
      </c>
      <c r="K502" s="11" t="n">
        <f aca="false">IF(I502=0,"",J502/I502)</f>
        <v>1</v>
      </c>
    </row>
    <row r="503" customFormat="false" ht="15" hidden="false" customHeight="false" outlineLevel="0" collapsed="false">
      <c r="A503" s="13" t="s">
        <v>91</v>
      </c>
      <c r="B503" s="13" t="s">
        <v>54</v>
      </c>
      <c r="C503" s="13" t="s">
        <v>102</v>
      </c>
      <c r="D503" s="9" t="n">
        <v>45778</v>
      </c>
      <c r="E503" s="26" t="n">
        <v>7.24</v>
      </c>
      <c r="F503" s="26" t="n">
        <v>4.5</v>
      </c>
      <c r="G503" s="11" t="n">
        <f aca="false">IF(E503=0,"",F503/E503)</f>
        <v>0.621546961325967</v>
      </c>
      <c r="H503" s="27" t="n">
        <v>2787.82</v>
      </c>
      <c r="I503" s="27" t="n">
        <v>1732.5</v>
      </c>
      <c r="J503" s="27" t="n">
        <v>1732.5</v>
      </c>
      <c r="K503" s="11" t="n">
        <f aca="false">IF(I503=0,"",J503/I503)</f>
        <v>1</v>
      </c>
    </row>
    <row r="504" customFormat="false" ht="15" hidden="false" customHeight="false" outlineLevel="0" collapsed="false">
      <c r="A504" s="13" t="s">
        <v>91</v>
      </c>
      <c r="B504" s="13" t="s">
        <v>54</v>
      </c>
      <c r="C504" s="13" t="s">
        <v>99</v>
      </c>
      <c r="D504" s="9" t="n">
        <v>45809</v>
      </c>
      <c r="E504" s="26" t="n">
        <v>36.15</v>
      </c>
      <c r="F504" s="26" t="n">
        <v>29.6</v>
      </c>
      <c r="G504" s="11" t="n">
        <f aca="false">IF(E504=0,"",F504/E504)</f>
        <v>0.81881051175657</v>
      </c>
      <c r="H504" s="27" t="n">
        <v>5602.54</v>
      </c>
      <c r="I504" s="27" t="n">
        <v>4588</v>
      </c>
      <c r="J504" s="27" t="n">
        <v>4588</v>
      </c>
      <c r="K504" s="11" t="n">
        <f aca="false">IF(I504=0,"",J504/I504)</f>
        <v>1</v>
      </c>
    </row>
    <row r="505" customFormat="false" ht="15" hidden="false" customHeight="false" outlineLevel="0" collapsed="false">
      <c r="A505" s="13" t="s">
        <v>91</v>
      </c>
      <c r="B505" s="13" t="s">
        <v>54</v>
      </c>
      <c r="C505" s="13" t="s">
        <v>100</v>
      </c>
      <c r="D505" s="9" t="n">
        <v>45809</v>
      </c>
      <c r="E505" s="26" t="n">
        <v>51.82</v>
      </c>
      <c r="F505" s="26" t="n">
        <v>44.1</v>
      </c>
      <c r="G505" s="11" t="n">
        <f aca="false">IF(E505=0,"",F505/E505)</f>
        <v>0.851022771130838</v>
      </c>
      <c r="H505" s="27" t="n">
        <v>10882.36</v>
      </c>
      <c r="I505" s="27" t="n">
        <v>9261</v>
      </c>
      <c r="J505" s="27" t="n">
        <v>9261</v>
      </c>
      <c r="K505" s="11" t="n">
        <f aca="false">IF(I505=0,"",J505/I505)</f>
        <v>1</v>
      </c>
    </row>
    <row r="506" customFormat="false" ht="15" hidden="false" customHeight="false" outlineLevel="0" collapsed="false">
      <c r="A506" s="13" t="s">
        <v>91</v>
      </c>
      <c r="B506" s="13" t="s">
        <v>54</v>
      </c>
      <c r="C506" s="13" t="s">
        <v>101</v>
      </c>
      <c r="D506" s="9" t="n">
        <v>45809</v>
      </c>
      <c r="E506" s="26" t="n">
        <v>16.6</v>
      </c>
      <c r="F506" s="26" t="n">
        <v>15.6</v>
      </c>
      <c r="G506" s="11" t="n">
        <f aca="false">IF(E506=0,"",F506/E506)</f>
        <v>0.939759036144578</v>
      </c>
      <c r="H506" s="27" t="n">
        <v>4564.28</v>
      </c>
      <c r="I506" s="27" t="n">
        <v>4290</v>
      </c>
      <c r="J506" s="27" t="n">
        <v>4290</v>
      </c>
      <c r="K506" s="11" t="n">
        <f aca="false">IF(I506=0,"",J506/I506)</f>
        <v>1</v>
      </c>
    </row>
    <row r="507" customFormat="false" ht="15" hidden="false" customHeight="false" outlineLevel="0" collapsed="false">
      <c r="A507" s="13" t="s">
        <v>91</v>
      </c>
      <c r="B507" s="13" t="s">
        <v>54</v>
      </c>
      <c r="C507" s="13" t="s">
        <v>102</v>
      </c>
      <c r="D507" s="9" t="n">
        <v>45809</v>
      </c>
      <c r="E507" s="26" t="n">
        <v>6.64</v>
      </c>
      <c r="F507" s="26" t="n">
        <v>5.9</v>
      </c>
      <c r="G507" s="11" t="n">
        <f aca="false">IF(E507=0,"",F507/E507)</f>
        <v>0.88855421686747</v>
      </c>
      <c r="H507" s="27" t="n">
        <v>2556</v>
      </c>
      <c r="I507" s="27" t="n">
        <v>2271.5</v>
      </c>
      <c r="J507" s="27" t="n">
        <v>2271.5</v>
      </c>
      <c r="K507" s="11" t="n">
        <f aca="false">IF(I507=0,"",J507/I507)</f>
        <v>1</v>
      </c>
    </row>
    <row r="508" customFormat="false" ht="15" hidden="false" customHeight="false" outlineLevel="0" collapsed="false">
      <c r="A508" s="13" t="s">
        <v>91</v>
      </c>
      <c r="B508" s="13" t="s">
        <v>54</v>
      </c>
      <c r="C508" s="13" t="s">
        <v>99</v>
      </c>
      <c r="D508" s="9" t="n">
        <v>45839</v>
      </c>
      <c r="E508" s="26" t="n">
        <v>27.19</v>
      </c>
      <c r="F508" s="26" t="n">
        <v>20.1</v>
      </c>
      <c r="G508" s="11" t="n">
        <f aca="false">IF(E508=0,"",F508/E508)</f>
        <v>0.739242368517837</v>
      </c>
      <c r="H508" s="27" t="n">
        <v>4214.27</v>
      </c>
      <c r="I508" s="27" t="n">
        <v>3115.5</v>
      </c>
      <c r="J508" s="27" t="n">
        <v>3115.5</v>
      </c>
      <c r="K508" s="11" t="n">
        <f aca="false">IF(I508=0,"",J508/I508)</f>
        <v>1</v>
      </c>
    </row>
    <row r="509" customFormat="false" ht="15" hidden="false" customHeight="false" outlineLevel="0" collapsed="false">
      <c r="A509" s="13" t="s">
        <v>91</v>
      </c>
      <c r="B509" s="13" t="s">
        <v>54</v>
      </c>
      <c r="C509" s="13" t="s">
        <v>100</v>
      </c>
      <c r="D509" s="9" t="n">
        <v>45839</v>
      </c>
      <c r="E509" s="26" t="n">
        <v>38.98</v>
      </c>
      <c r="F509" s="26" t="n">
        <v>25.7</v>
      </c>
      <c r="G509" s="11" t="n">
        <f aca="false">IF(E509=0,"",F509/E509)</f>
        <v>0.659312467932273</v>
      </c>
      <c r="H509" s="27" t="n">
        <v>8185.78</v>
      </c>
      <c r="I509" s="27" t="n">
        <v>5397</v>
      </c>
      <c r="J509" s="27" t="n">
        <v>5397</v>
      </c>
      <c r="K509" s="11" t="n">
        <f aca="false">IF(I509=0,"",J509/I509)</f>
        <v>1</v>
      </c>
    </row>
    <row r="510" customFormat="false" ht="15" hidden="false" customHeight="false" outlineLevel="0" collapsed="false">
      <c r="A510" s="13" t="s">
        <v>91</v>
      </c>
      <c r="B510" s="13" t="s">
        <v>54</v>
      </c>
      <c r="C510" s="13" t="s">
        <v>101</v>
      </c>
      <c r="D510" s="9" t="n">
        <v>45839</v>
      </c>
      <c r="E510" s="26" t="n">
        <v>12.48</v>
      </c>
      <c r="F510" s="26" t="n">
        <v>7.8</v>
      </c>
      <c r="G510" s="11" t="n">
        <f aca="false">IF(E510=0,"",F510/E510)</f>
        <v>0.625</v>
      </c>
      <c r="H510" s="27" t="n">
        <v>3433.28</v>
      </c>
      <c r="I510" s="27" t="n">
        <v>2145</v>
      </c>
      <c r="J510" s="27" t="n">
        <v>2145</v>
      </c>
      <c r="K510" s="11" t="n">
        <f aca="false">IF(I510=0,"",J510/I510)</f>
        <v>1</v>
      </c>
    </row>
    <row r="511" customFormat="false" ht="15" hidden="false" customHeight="false" outlineLevel="0" collapsed="false">
      <c r="A511" s="13" t="s">
        <v>91</v>
      </c>
      <c r="B511" s="13" t="s">
        <v>54</v>
      </c>
      <c r="C511" s="13" t="s">
        <v>102</v>
      </c>
      <c r="D511" s="9" t="n">
        <v>45839</v>
      </c>
      <c r="E511" s="26" t="n">
        <v>4.99</v>
      </c>
      <c r="F511" s="26" t="n">
        <v>4.5</v>
      </c>
      <c r="G511" s="11" t="n">
        <f aca="false">IF(E511=0,"",F511/E511)</f>
        <v>0.901803607214429</v>
      </c>
      <c r="H511" s="27" t="n">
        <v>1922.64</v>
      </c>
      <c r="I511" s="27" t="n">
        <v>1732.5</v>
      </c>
      <c r="J511" s="27" t="n">
        <v>1732.5</v>
      </c>
      <c r="K511" s="11" t="n">
        <f aca="false">IF(I511=0,"",J511/I511)</f>
        <v>1</v>
      </c>
    </row>
    <row r="512" customFormat="false" ht="15" hidden="false" customHeight="false" outlineLevel="0" collapsed="false">
      <c r="A512" s="13" t="s">
        <v>91</v>
      </c>
      <c r="B512" s="13" t="s">
        <v>54</v>
      </c>
      <c r="C512" s="13" t="s">
        <v>99</v>
      </c>
      <c r="D512" s="9" t="n">
        <v>45870</v>
      </c>
      <c r="E512" s="26" t="n">
        <v>14.95</v>
      </c>
      <c r="F512" s="26" t="n">
        <v>11.2</v>
      </c>
      <c r="G512" s="11" t="n">
        <f aca="false">IF(E512=0,"",F512/E512)</f>
        <v>0.749163879598662</v>
      </c>
      <c r="H512" s="27" t="n">
        <v>2317.85</v>
      </c>
      <c r="I512" s="27" t="n">
        <v>1736</v>
      </c>
      <c r="J512" s="27" t="n">
        <v>1736</v>
      </c>
      <c r="K512" s="11" t="n">
        <f aca="false">IF(I512=0,"",J512/I512)</f>
        <v>1</v>
      </c>
    </row>
    <row r="513" customFormat="false" ht="15" hidden="false" customHeight="false" outlineLevel="0" collapsed="false">
      <c r="A513" s="13" t="s">
        <v>91</v>
      </c>
      <c r="B513" s="13" t="s">
        <v>54</v>
      </c>
      <c r="C513" s="13" t="s">
        <v>100</v>
      </c>
      <c r="D513" s="9" t="n">
        <v>45870</v>
      </c>
      <c r="E513" s="26" t="n">
        <v>21.44</v>
      </c>
      <c r="F513" s="26" t="n">
        <v>20.1</v>
      </c>
      <c r="G513" s="11" t="n">
        <f aca="false">IF(E513=0,"",F513/E513)</f>
        <v>0.9375</v>
      </c>
      <c r="H513" s="27" t="n">
        <v>4502.18</v>
      </c>
      <c r="I513" s="27" t="n">
        <v>4221</v>
      </c>
      <c r="J513" s="27" t="n">
        <v>4221</v>
      </c>
      <c r="K513" s="11" t="n">
        <f aca="false">IF(I513=0,"",J513/I513)</f>
        <v>1</v>
      </c>
    </row>
    <row r="514" customFormat="false" ht="15" hidden="false" customHeight="false" outlineLevel="0" collapsed="false">
      <c r="A514" s="13" t="s">
        <v>91</v>
      </c>
      <c r="B514" s="13" t="s">
        <v>54</v>
      </c>
      <c r="C514" s="13" t="s">
        <v>101</v>
      </c>
      <c r="D514" s="9" t="n">
        <v>45870</v>
      </c>
      <c r="E514" s="26" t="n">
        <v>6.87</v>
      </c>
      <c r="F514" s="26" t="n">
        <v>3.1</v>
      </c>
      <c r="G514" s="11" t="n">
        <f aca="false">IF(E514=0,"",F514/E514)</f>
        <v>0.451237263464338</v>
      </c>
      <c r="H514" s="27" t="n">
        <v>1888.31</v>
      </c>
      <c r="I514" s="27" t="n">
        <v>852.5</v>
      </c>
      <c r="J514" s="27" t="n">
        <v>852.5</v>
      </c>
      <c r="K514" s="11" t="n">
        <f aca="false">IF(I514=0,"",J514/I514)</f>
        <v>1</v>
      </c>
    </row>
    <row r="515" customFormat="false" ht="15" hidden="false" customHeight="false" outlineLevel="0" collapsed="false">
      <c r="A515" s="13" t="s">
        <v>91</v>
      </c>
      <c r="B515" s="13" t="s">
        <v>54</v>
      </c>
      <c r="C515" s="13" t="s">
        <v>102</v>
      </c>
      <c r="D515" s="9" t="n">
        <v>45870</v>
      </c>
      <c r="E515" s="26" t="n">
        <v>2.75</v>
      </c>
      <c r="F515" s="26" t="n">
        <v>2.7</v>
      </c>
      <c r="G515" s="11" t="n">
        <f aca="false">IF(E515=0,"",F515/E515)</f>
        <v>0.981818181818182</v>
      </c>
      <c r="H515" s="27" t="n">
        <v>1057.45</v>
      </c>
      <c r="I515" s="27" t="n">
        <v>1039.5</v>
      </c>
      <c r="J515" s="27" t="n">
        <v>1039.5</v>
      </c>
      <c r="K515" s="11" t="n">
        <f aca="false">IF(I515=0,"",J515/I515)</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3" min="2" style="0" width="12"/>
    <col collapsed="false" customWidth="true" hidden="false" outlineLevel="0" max="4" min="4" style="0" width="10"/>
    <col collapsed="false" customWidth="true" hidden="false" outlineLevel="0" max="5" min="5" style="0" width="12"/>
    <col collapsed="false" customWidth="true" hidden="false" outlineLevel="0" max="6" min="6" style="0" width="16"/>
  </cols>
  <sheetData>
    <row r="1" customFormat="false" ht="19.7" hidden="false" customHeight="false" outlineLevel="0" collapsed="false">
      <c r="A1" s="28" t="s">
        <v>103</v>
      </c>
    </row>
    <row r="2" customFormat="false" ht="15" hidden="false" customHeight="false" outlineLevel="0" collapsed="false">
      <c r="A2" s="2" t="s">
        <v>104</v>
      </c>
    </row>
    <row r="4" customFormat="false" ht="16.15" hidden="false" customHeight="false" outlineLevel="0" collapsed="false">
      <c r="A4" s="29" t="s">
        <v>105</v>
      </c>
    </row>
    <row r="5" customFormat="false" ht="15" hidden="false" customHeight="false" outlineLevel="0" collapsed="false">
      <c r="A5" s="30" t="s">
        <v>106</v>
      </c>
    </row>
    <row r="7" customFormat="false" ht="15" hidden="false" customHeight="false" outlineLevel="0" collapsed="false">
      <c r="A7" s="31" t="s">
        <v>107</v>
      </c>
      <c r="B7" s="14" t="s">
        <v>108</v>
      </c>
      <c r="D7" s="31" t="s">
        <v>109</v>
      </c>
      <c r="E7" s="32" t="n">
        <v>45874</v>
      </c>
    </row>
    <row r="8" customFormat="false" ht="15" hidden="false" customHeight="false" outlineLevel="0" collapsed="false">
      <c r="A8" s="31" t="s">
        <v>110</v>
      </c>
      <c r="B8" s="14" t="s">
        <v>61</v>
      </c>
      <c r="D8" s="31" t="s">
        <v>111</v>
      </c>
      <c r="E8" s="14" t="s">
        <v>112</v>
      </c>
    </row>
    <row r="9" customFormat="false" ht="15" hidden="false" customHeight="false" outlineLevel="0" collapsed="false">
      <c r="A9" s="31" t="s">
        <v>113</v>
      </c>
      <c r="B9" s="14" t="s">
        <v>74</v>
      </c>
      <c r="D9" s="31" t="s">
        <v>114</v>
      </c>
      <c r="E9" s="14" t="s">
        <v>73</v>
      </c>
    </row>
    <row r="10" customFormat="false" ht="15" hidden="false" customHeight="false" outlineLevel="0" collapsed="false">
      <c r="A10" s="31" t="s">
        <v>115</v>
      </c>
      <c r="B10" s="14" t="s">
        <v>69</v>
      </c>
      <c r="D10" s="31" t="s">
        <v>116</v>
      </c>
      <c r="E10" s="14" t="s">
        <v>75</v>
      </c>
    </row>
    <row r="13" customFormat="false" ht="30" hidden="false" customHeight="true" outlineLevel="0" collapsed="false">
      <c r="A13" s="15" t="s">
        <v>117</v>
      </c>
      <c r="B13" s="15" t="s">
        <v>118</v>
      </c>
      <c r="C13" s="15" t="s">
        <v>95</v>
      </c>
      <c r="D13" s="15" t="s">
        <v>119</v>
      </c>
      <c r="E13" s="15" t="s">
        <v>120</v>
      </c>
      <c r="F13" s="15" t="s">
        <v>121</v>
      </c>
    </row>
    <row r="14" customFormat="false" ht="15" hidden="false" customHeight="false" outlineLevel="0" collapsed="false">
      <c r="A14" s="14" t="s">
        <v>122</v>
      </c>
      <c r="B14" s="14" t="s">
        <v>123</v>
      </c>
      <c r="C14" s="14" t="s">
        <v>102</v>
      </c>
      <c r="D14" s="13" t="n">
        <v>54.5</v>
      </c>
      <c r="E14" s="27" t="n">
        <v>385</v>
      </c>
      <c r="F14" s="12" t="n">
        <f aca="false">D14*E14</f>
        <v>20982.5</v>
      </c>
    </row>
    <row r="15" customFormat="false" ht="15" hidden="false" customHeight="false" outlineLevel="0" collapsed="false">
      <c r="A15" s="14" t="s">
        <v>124</v>
      </c>
      <c r="B15" s="14" t="s">
        <v>123</v>
      </c>
      <c r="C15" s="14" t="s">
        <v>101</v>
      </c>
      <c r="D15" s="13" t="n">
        <v>141.9</v>
      </c>
      <c r="E15" s="27" t="n">
        <v>275</v>
      </c>
      <c r="F15" s="12" t="n">
        <f aca="false">D15*E15</f>
        <v>39022.5</v>
      </c>
    </row>
    <row r="16" customFormat="false" ht="15" hidden="false" customHeight="false" outlineLevel="0" collapsed="false">
      <c r="A16" s="14" t="s">
        <v>125</v>
      </c>
      <c r="B16" s="14" t="s">
        <v>123</v>
      </c>
      <c r="C16" s="14" t="s">
        <v>100</v>
      </c>
      <c r="D16" s="13" t="n">
        <v>377.1</v>
      </c>
      <c r="E16" s="27" t="n">
        <v>210</v>
      </c>
      <c r="F16" s="12" t="n">
        <f aca="false">D16*E16</f>
        <v>79191</v>
      </c>
    </row>
    <row r="17" customFormat="false" ht="15" hidden="false" customHeight="false" outlineLevel="0" collapsed="false">
      <c r="A17" s="14" t="s">
        <v>126</v>
      </c>
      <c r="B17" s="14" t="s">
        <v>123</v>
      </c>
      <c r="C17" s="14" t="s">
        <v>99</v>
      </c>
      <c r="D17" s="13" t="n">
        <v>287</v>
      </c>
      <c r="E17" s="27" t="n">
        <v>155</v>
      </c>
      <c r="F17" s="12" t="n">
        <f aca="false">D17*E17</f>
        <v>44485</v>
      </c>
    </row>
    <row r="18" customFormat="false" ht="15" hidden="false" customHeight="false" outlineLevel="0" collapsed="false">
      <c r="A18" s="14" t="s">
        <v>127</v>
      </c>
      <c r="B18" s="14" t="s">
        <v>128</v>
      </c>
      <c r="C18" s="14"/>
      <c r="F18" s="27" t="n">
        <v>89.73</v>
      </c>
    </row>
    <row r="20" customFormat="false" ht="15" hidden="false" customHeight="false" outlineLevel="0" collapsed="false">
      <c r="A20" s="33" t="s">
        <v>129</v>
      </c>
      <c r="F20" s="12" t="n">
        <f aca="false">SUMIF(B14:B18,"Labor",F14:F18)</f>
        <v>183681</v>
      </c>
    </row>
    <row r="21" customFormat="false" ht="15" hidden="false" customHeight="false" outlineLevel="0" collapsed="false">
      <c r="A21" s="33" t="s">
        <v>130</v>
      </c>
      <c r="F21" s="12" t="n">
        <f aca="false">SUMIF(B14:B18,"Expense",F14:F18)</f>
        <v>89.73</v>
      </c>
    </row>
    <row r="23" customFormat="false" ht="15" hidden="false" customHeight="false" outlineLevel="0" collapsed="false">
      <c r="A23" s="34" t="s">
        <v>131</v>
      </c>
      <c r="F23" s="35" t="n">
        <f aca="false">F20+F21</f>
        <v>183770.73</v>
      </c>
    </row>
    <row r="26" customFormat="false" ht="30" hidden="false" customHeight="true" outlineLevel="0" collapsed="false">
      <c r="A26" s="36" t="s">
        <v>132</v>
      </c>
      <c r="B26" s="36"/>
      <c r="C26" s="36"/>
      <c r="D26" s="36"/>
      <c r="E26" s="36"/>
      <c r="F26" s="36"/>
    </row>
  </sheetData>
  <mergeCells count="1">
    <mergeCell ref="A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8"/>
    <col collapsed="false" customWidth="true" hidden="false" outlineLevel="0" max="4" min="4" style="0" width="14"/>
    <col collapsed="false" customWidth="true" hidden="false" outlineLevel="0" max="5" min="5" style="0" width="26"/>
    <col collapsed="false" customWidth="true" hidden="false" outlineLevel="0" max="6" min="6" style="0" width="10"/>
    <col collapsed="false" customWidth="true" hidden="false" outlineLevel="0" max="7" min="7" style="0" width="14"/>
    <col collapsed="false" customWidth="true" hidden="false" outlineLevel="0" max="8" min="8" style="0" width="55"/>
    <col collapsed="false" customWidth="true" hidden="false" outlineLevel="0" max="9" min="9" style="0" width="45"/>
    <col collapsed="false" customWidth="true" hidden="false" outlineLevel="0" max="10" min="10" style="0" width="12"/>
    <col collapsed="false" customWidth="true" hidden="false" outlineLevel="0" max="13" min="13" style="0" width="16"/>
    <col collapsed="false" customWidth="true" hidden="false" outlineLevel="0" max="14" min="14" style="0" width="15"/>
    <col collapsed="false" customWidth="true" hidden="false" outlineLevel="0" max="15" min="15" style="0" width="8"/>
    <col collapsed="false" customWidth="true" hidden="false" outlineLevel="0" max="16" min="16" style="0" width="10"/>
    <col collapsed="false" customWidth="true" hidden="false" outlineLevel="0" max="17" min="17" style="0" width="8"/>
    <col collapsed="false" customWidth="true" hidden="false" outlineLevel="0" max="18" min="18" style="0" width="15"/>
    <col collapsed="false" customWidth="true" hidden="false" outlineLevel="0" max="19" min="19" style="0" width="18"/>
  </cols>
  <sheetData>
    <row r="1" customFormat="false" ht="17.35" hidden="false" customHeight="false" outlineLevel="0" collapsed="false">
      <c r="A1" s="1" t="s">
        <v>133</v>
      </c>
    </row>
    <row r="2" customFormat="false" ht="15" hidden="false" customHeight="false" outlineLevel="0" collapsed="false">
      <c r="A2" s="2" t="s">
        <v>134</v>
      </c>
    </row>
    <row r="3" customFormat="false" ht="30" hidden="false" customHeight="true" outlineLevel="0" collapsed="false">
      <c r="A3" s="15" t="s">
        <v>135</v>
      </c>
      <c r="B3" s="15" t="s">
        <v>25</v>
      </c>
      <c r="C3" s="15" t="s">
        <v>26</v>
      </c>
      <c r="D3" s="15" t="s">
        <v>29</v>
      </c>
      <c r="E3" s="15" t="s">
        <v>118</v>
      </c>
      <c r="F3" s="15" t="s">
        <v>17</v>
      </c>
      <c r="G3" s="15" t="s">
        <v>136</v>
      </c>
      <c r="H3" s="15" t="s">
        <v>117</v>
      </c>
      <c r="I3" s="15" t="s">
        <v>137</v>
      </c>
      <c r="J3" s="15" t="s">
        <v>138</v>
      </c>
      <c r="M3" s="7" t="s">
        <v>139</v>
      </c>
    </row>
    <row r="4" customFormat="false" ht="23.85" hidden="false" customHeight="false" outlineLevel="0" collapsed="false">
      <c r="A4" s="13" t="s">
        <v>140</v>
      </c>
      <c r="B4" s="13" t="s">
        <v>70</v>
      </c>
      <c r="C4" s="13" t="s">
        <v>58</v>
      </c>
      <c r="D4" s="13" t="s">
        <v>72</v>
      </c>
      <c r="E4" s="13" t="s">
        <v>141</v>
      </c>
      <c r="F4" s="13" t="s">
        <v>20</v>
      </c>
      <c r="G4" s="27" t="n">
        <v>79722</v>
      </c>
      <c r="H4" s="37" t="s">
        <v>142</v>
      </c>
      <c r="I4" s="37" t="s">
        <v>143</v>
      </c>
      <c r="J4" s="9" t="n">
        <v>45884</v>
      </c>
      <c r="M4" s="38" t="s">
        <v>144</v>
      </c>
      <c r="N4" s="38" t="s">
        <v>6</v>
      </c>
      <c r="O4" s="38" t="s">
        <v>20</v>
      </c>
      <c r="P4" s="38" t="s">
        <v>21</v>
      </c>
      <c r="Q4" s="38" t="s">
        <v>22</v>
      </c>
      <c r="R4" s="38" t="s">
        <v>145</v>
      </c>
      <c r="S4" s="38" t="s">
        <v>146</v>
      </c>
    </row>
    <row r="5" customFormat="false" ht="23.85" hidden="false" customHeight="false" outlineLevel="0" collapsed="false">
      <c r="A5" s="13" t="s">
        <v>147</v>
      </c>
      <c r="B5" s="13" t="s">
        <v>91</v>
      </c>
      <c r="C5" s="13" t="s">
        <v>54</v>
      </c>
      <c r="D5" s="13" t="s">
        <v>78</v>
      </c>
      <c r="E5" s="13" t="s">
        <v>141</v>
      </c>
      <c r="F5" s="13" t="s">
        <v>20</v>
      </c>
      <c r="G5" s="27" t="n">
        <v>20410.5</v>
      </c>
      <c r="H5" s="37" t="s">
        <v>148</v>
      </c>
      <c r="I5" s="37" t="s">
        <v>143</v>
      </c>
      <c r="J5" s="9" t="n">
        <v>45884</v>
      </c>
      <c r="M5" s="14" t="s">
        <v>52</v>
      </c>
      <c r="N5" s="14" t="n">
        <v>28</v>
      </c>
      <c r="O5" s="14" t="n">
        <v>7</v>
      </c>
      <c r="P5" s="14" t="n">
        <v>14</v>
      </c>
      <c r="Q5" s="14" t="n">
        <v>7</v>
      </c>
      <c r="R5" s="12" t="n">
        <v>80911.5</v>
      </c>
      <c r="S5" s="14" t="n">
        <v>7</v>
      </c>
    </row>
    <row r="6" customFormat="false" ht="23.85" hidden="false" customHeight="false" outlineLevel="0" collapsed="false">
      <c r="A6" s="13" t="s">
        <v>149</v>
      </c>
      <c r="B6" s="13" t="s">
        <v>63</v>
      </c>
      <c r="C6" s="13" t="s">
        <v>45</v>
      </c>
      <c r="D6" s="13" t="s">
        <v>52</v>
      </c>
      <c r="E6" s="13" t="s">
        <v>150</v>
      </c>
      <c r="F6" s="13" t="s">
        <v>20</v>
      </c>
      <c r="G6" s="27" t="n">
        <v>6656</v>
      </c>
      <c r="H6" s="37" t="s">
        <v>151</v>
      </c>
      <c r="I6" s="37" t="s">
        <v>152</v>
      </c>
      <c r="J6" s="9" t="n">
        <v>45884</v>
      </c>
      <c r="M6" s="14" t="s">
        <v>78</v>
      </c>
      <c r="N6" s="14" t="n">
        <v>8</v>
      </c>
      <c r="O6" s="14" t="n">
        <v>4</v>
      </c>
      <c r="P6" s="14" t="n">
        <v>2</v>
      </c>
      <c r="Q6" s="14" t="n">
        <v>2</v>
      </c>
      <c r="R6" s="12" t="n">
        <v>38263.62</v>
      </c>
      <c r="S6" s="14" t="n">
        <v>3</v>
      </c>
    </row>
    <row r="7" customFormat="false" ht="23.85" hidden="false" customHeight="false" outlineLevel="0" collapsed="false">
      <c r="A7" s="13" t="s">
        <v>153</v>
      </c>
      <c r="B7" s="13" t="s">
        <v>79</v>
      </c>
      <c r="C7" s="13" t="s">
        <v>50</v>
      </c>
      <c r="D7" s="13" t="s">
        <v>52</v>
      </c>
      <c r="E7" s="13" t="s">
        <v>150</v>
      </c>
      <c r="F7" s="13" t="s">
        <v>20</v>
      </c>
      <c r="G7" s="27" t="n">
        <v>5623</v>
      </c>
      <c r="H7" s="37" t="s">
        <v>154</v>
      </c>
      <c r="I7" s="37" t="s">
        <v>152</v>
      </c>
      <c r="J7" s="9" t="n">
        <v>45884</v>
      </c>
      <c r="M7" s="14" t="s">
        <v>72</v>
      </c>
      <c r="N7" s="14" t="n">
        <v>10</v>
      </c>
      <c r="O7" s="14" t="n">
        <v>3</v>
      </c>
      <c r="P7" s="14" t="n">
        <v>4</v>
      </c>
      <c r="Q7" s="14" t="n">
        <v>3</v>
      </c>
      <c r="R7" s="12" t="n">
        <v>112927.06</v>
      </c>
      <c r="S7" s="14" t="n">
        <v>2</v>
      </c>
    </row>
    <row r="8" customFormat="false" ht="23.85" hidden="false" customHeight="false" outlineLevel="0" collapsed="false">
      <c r="A8" s="13" t="s">
        <v>155</v>
      </c>
      <c r="B8" s="13" t="s">
        <v>73</v>
      </c>
      <c r="C8" s="13" t="s">
        <v>61</v>
      </c>
      <c r="D8" s="13" t="s">
        <v>75</v>
      </c>
      <c r="E8" s="13" t="s">
        <v>150</v>
      </c>
      <c r="F8" s="13" t="s">
        <v>20</v>
      </c>
      <c r="G8" s="27" t="n">
        <v>5460</v>
      </c>
      <c r="H8" s="37" t="s">
        <v>156</v>
      </c>
      <c r="I8" s="37" t="s">
        <v>152</v>
      </c>
      <c r="J8" s="9" t="n">
        <v>45884</v>
      </c>
      <c r="M8" s="14" t="s">
        <v>48</v>
      </c>
      <c r="N8" s="14" t="n">
        <v>10</v>
      </c>
      <c r="O8" s="14" t="n">
        <v>3</v>
      </c>
      <c r="P8" s="14" t="n">
        <v>4</v>
      </c>
      <c r="Q8" s="14" t="n">
        <v>3</v>
      </c>
      <c r="R8" s="12" t="n">
        <v>28838.5</v>
      </c>
      <c r="S8" s="14" t="n">
        <v>3</v>
      </c>
    </row>
    <row r="9" customFormat="false" ht="23.85" hidden="false" customHeight="false" outlineLevel="0" collapsed="false">
      <c r="A9" s="13" t="s">
        <v>157</v>
      </c>
      <c r="B9" s="13" t="s">
        <v>70</v>
      </c>
      <c r="C9" s="13" t="s">
        <v>58</v>
      </c>
      <c r="D9" s="13" t="s">
        <v>72</v>
      </c>
      <c r="E9" s="13" t="s">
        <v>150</v>
      </c>
      <c r="F9" s="13" t="s">
        <v>20</v>
      </c>
      <c r="G9" s="27" t="n">
        <v>5272</v>
      </c>
      <c r="H9" s="37" t="s">
        <v>158</v>
      </c>
      <c r="I9" s="37" t="s">
        <v>152</v>
      </c>
      <c r="J9" s="9" t="n">
        <v>45884</v>
      </c>
      <c r="M9" s="14" t="s">
        <v>75</v>
      </c>
      <c r="N9" s="14" t="n">
        <v>8</v>
      </c>
      <c r="O9" s="14" t="n">
        <v>2</v>
      </c>
      <c r="P9" s="14" t="n">
        <v>4</v>
      </c>
      <c r="Q9" s="14" t="n">
        <v>2</v>
      </c>
      <c r="R9" s="12" t="n">
        <v>78698.14</v>
      </c>
      <c r="S9" s="14" t="n">
        <v>2</v>
      </c>
    </row>
    <row r="10" customFormat="false" ht="23.85" hidden="false" customHeight="false" outlineLevel="0" collapsed="false">
      <c r="A10" s="13" t="s">
        <v>159</v>
      </c>
      <c r="B10" s="13" t="s">
        <v>85</v>
      </c>
      <c r="C10" s="13" t="s">
        <v>61</v>
      </c>
      <c r="D10" s="13" t="s">
        <v>52</v>
      </c>
      <c r="E10" s="13" t="s">
        <v>150</v>
      </c>
      <c r="F10" s="13" t="s">
        <v>20</v>
      </c>
      <c r="G10" s="27" t="n">
        <v>5127.5</v>
      </c>
      <c r="H10" s="37" t="s">
        <v>160</v>
      </c>
      <c r="I10" s="37" t="s">
        <v>152</v>
      </c>
      <c r="J10" s="9" t="n">
        <v>45884</v>
      </c>
    </row>
    <row r="11" customFormat="false" ht="23.85" hidden="false" customHeight="false" outlineLevel="0" collapsed="false">
      <c r="A11" s="13" t="s">
        <v>161</v>
      </c>
      <c r="B11" s="13" t="s">
        <v>76</v>
      </c>
      <c r="C11" s="13" t="s">
        <v>45</v>
      </c>
      <c r="D11" s="13" t="s">
        <v>78</v>
      </c>
      <c r="E11" s="13" t="s">
        <v>150</v>
      </c>
      <c r="F11" s="13" t="s">
        <v>20</v>
      </c>
      <c r="G11" s="27" t="n">
        <v>3861.5</v>
      </c>
      <c r="H11" s="37" t="s">
        <v>162</v>
      </c>
      <c r="I11" s="37" t="s">
        <v>152</v>
      </c>
      <c r="J11" s="9" t="n">
        <v>45884</v>
      </c>
    </row>
    <row r="12" customFormat="false" ht="23.85" hidden="false" customHeight="false" outlineLevel="0" collapsed="false">
      <c r="A12" s="13" t="s">
        <v>163</v>
      </c>
      <c r="B12" s="13" t="s">
        <v>53</v>
      </c>
      <c r="C12" s="13" t="s">
        <v>54</v>
      </c>
      <c r="D12" s="13" t="s">
        <v>48</v>
      </c>
      <c r="E12" s="13" t="s">
        <v>150</v>
      </c>
      <c r="F12" s="13" t="s">
        <v>20</v>
      </c>
      <c r="G12" s="27" t="n">
        <v>3148.5</v>
      </c>
      <c r="H12" s="37" t="s">
        <v>164</v>
      </c>
      <c r="I12" s="37" t="s">
        <v>152</v>
      </c>
      <c r="J12" s="9" t="n">
        <v>45884</v>
      </c>
    </row>
    <row r="13" customFormat="false" ht="23.85" hidden="false" customHeight="false" outlineLevel="0" collapsed="false">
      <c r="A13" s="13" t="s">
        <v>165</v>
      </c>
      <c r="B13" s="13" t="s">
        <v>87</v>
      </c>
      <c r="C13" s="13" t="s">
        <v>45</v>
      </c>
      <c r="D13" s="13" t="s">
        <v>72</v>
      </c>
      <c r="E13" s="13" t="s">
        <v>150</v>
      </c>
      <c r="F13" s="13" t="s">
        <v>20</v>
      </c>
      <c r="G13" s="27" t="n">
        <v>2734</v>
      </c>
      <c r="H13" s="37" t="s">
        <v>166</v>
      </c>
      <c r="I13" s="37" t="s">
        <v>152</v>
      </c>
      <c r="J13" s="9" t="n">
        <v>45884</v>
      </c>
    </row>
    <row r="14" customFormat="false" ht="23.85" hidden="false" customHeight="false" outlineLevel="0" collapsed="false">
      <c r="A14" s="13" t="s">
        <v>167</v>
      </c>
      <c r="B14" s="13" t="s">
        <v>67</v>
      </c>
      <c r="C14" s="13" t="s">
        <v>54</v>
      </c>
      <c r="D14" s="13" t="s">
        <v>52</v>
      </c>
      <c r="E14" s="13" t="s">
        <v>150</v>
      </c>
      <c r="F14" s="13" t="s">
        <v>20</v>
      </c>
      <c r="G14" s="27" t="n">
        <v>2612.5</v>
      </c>
      <c r="H14" s="37" t="s">
        <v>168</v>
      </c>
      <c r="I14" s="37" t="s">
        <v>152</v>
      </c>
      <c r="J14" s="9" t="n">
        <v>45884</v>
      </c>
    </row>
    <row r="15" customFormat="false" ht="23.85" hidden="false" customHeight="false" outlineLevel="0" collapsed="false">
      <c r="A15" s="13" t="s">
        <v>169</v>
      </c>
      <c r="B15" s="13" t="s">
        <v>57</v>
      </c>
      <c r="C15" s="13" t="s">
        <v>58</v>
      </c>
      <c r="D15" s="13" t="s">
        <v>48</v>
      </c>
      <c r="E15" s="13" t="s">
        <v>150</v>
      </c>
      <c r="F15" s="13" t="s">
        <v>20</v>
      </c>
      <c r="G15" s="27" t="n">
        <v>2436</v>
      </c>
      <c r="H15" s="37" t="s">
        <v>170</v>
      </c>
      <c r="I15" s="37" t="s">
        <v>152</v>
      </c>
      <c r="J15" s="9" t="n">
        <v>45884</v>
      </c>
    </row>
    <row r="16" customFormat="false" ht="23.85" hidden="false" customHeight="false" outlineLevel="0" collapsed="false">
      <c r="A16" s="13" t="s">
        <v>171</v>
      </c>
      <c r="B16" s="13" t="s">
        <v>44</v>
      </c>
      <c r="C16" s="13" t="s">
        <v>45</v>
      </c>
      <c r="D16" s="13" t="s">
        <v>48</v>
      </c>
      <c r="E16" s="13" t="s">
        <v>150</v>
      </c>
      <c r="F16" s="13" t="s">
        <v>20</v>
      </c>
      <c r="G16" s="27" t="n">
        <v>2233</v>
      </c>
      <c r="H16" s="37" t="s">
        <v>172</v>
      </c>
      <c r="I16" s="37" t="s">
        <v>152</v>
      </c>
      <c r="J16" s="9" t="n">
        <v>45884</v>
      </c>
    </row>
    <row r="17" customFormat="false" ht="23.85" hidden="false" customHeight="false" outlineLevel="0" collapsed="false">
      <c r="A17" s="13" t="s">
        <v>173</v>
      </c>
      <c r="B17" s="13" t="s">
        <v>49</v>
      </c>
      <c r="C17" s="13" t="s">
        <v>50</v>
      </c>
      <c r="D17" s="13" t="s">
        <v>52</v>
      </c>
      <c r="E17" s="13" t="s">
        <v>150</v>
      </c>
      <c r="F17" s="13" t="s">
        <v>20</v>
      </c>
      <c r="G17" s="27" t="n">
        <v>1848</v>
      </c>
      <c r="H17" s="37" t="s">
        <v>174</v>
      </c>
      <c r="I17" s="37" t="s">
        <v>152</v>
      </c>
      <c r="J17" s="9" t="n">
        <v>45884</v>
      </c>
    </row>
    <row r="18" customFormat="false" ht="23.85" hidden="false" customHeight="false" outlineLevel="0" collapsed="false">
      <c r="A18" s="13" t="s">
        <v>175</v>
      </c>
      <c r="B18" s="13" t="s">
        <v>81</v>
      </c>
      <c r="C18" s="13" t="s">
        <v>54</v>
      </c>
      <c r="D18" s="13" t="s">
        <v>78</v>
      </c>
      <c r="E18" s="13" t="s">
        <v>150</v>
      </c>
      <c r="F18" s="13" t="s">
        <v>20</v>
      </c>
      <c r="G18" s="27" t="n">
        <v>1821</v>
      </c>
      <c r="H18" s="37" t="s">
        <v>176</v>
      </c>
      <c r="I18" s="37" t="s">
        <v>152</v>
      </c>
      <c r="J18" s="9" t="n">
        <v>45884</v>
      </c>
    </row>
    <row r="19" customFormat="false" ht="23.85" hidden="false" customHeight="false" outlineLevel="0" collapsed="false">
      <c r="A19" s="13" t="s">
        <v>177</v>
      </c>
      <c r="B19" s="13" t="s">
        <v>89</v>
      </c>
      <c r="C19" s="13" t="s">
        <v>50</v>
      </c>
      <c r="D19" s="13" t="s">
        <v>75</v>
      </c>
      <c r="E19" s="13" t="s">
        <v>150</v>
      </c>
      <c r="F19" s="13" t="s">
        <v>20</v>
      </c>
      <c r="G19" s="27" t="n">
        <v>1119.5</v>
      </c>
      <c r="H19" s="37" t="s">
        <v>178</v>
      </c>
      <c r="I19" s="37" t="s">
        <v>152</v>
      </c>
      <c r="J19" s="9" t="n">
        <v>45884</v>
      </c>
    </row>
    <row r="20" customFormat="false" ht="23.85" hidden="false" customHeight="false" outlineLevel="0" collapsed="false">
      <c r="A20" s="13" t="s">
        <v>179</v>
      </c>
      <c r="B20" s="13" t="s">
        <v>83</v>
      </c>
      <c r="C20" s="13" t="s">
        <v>58</v>
      </c>
      <c r="D20" s="13" t="s">
        <v>52</v>
      </c>
      <c r="E20" s="13" t="s">
        <v>150</v>
      </c>
      <c r="F20" s="13" t="s">
        <v>20</v>
      </c>
      <c r="G20" s="27" t="n">
        <v>1045</v>
      </c>
      <c r="H20" s="37" t="s">
        <v>180</v>
      </c>
      <c r="I20" s="37" t="s">
        <v>152</v>
      </c>
      <c r="J20" s="9" t="n">
        <v>45884</v>
      </c>
    </row>
    <row r="21" customFormat="false" ht="23.85" hidden="false" customHeight="false" outlineLevel="0" collapsed="false">
      <c r="A21" s="13" t="s">
        <v>181</v>
      </c>
      <c r="B21" s="13" t="s">
        <v>91</v>
      </c>
      <c r="C21" s="13" t="s">
        <v>54</v>
      </c>
      <c r="D21" s="13" t="s">
        <v>78</v>
      </c>
      <c r="E21" s="13" t="s">
        <v>150</v>
      </c>
      <c r="F21" s="13" t="s">
        <v>20</v>
      </c>
      <c r="G21" s="27" t="n">
        <v>821.5</v>
      </c>
      <c r="H21" s="37" t="s">
        <v>178</v>
      </c>
      <c r="I21" s="37" t="s">
        <v>152</v>
      </c>
      <c r="J21" s="9" t="n">
        <v>45884</v>
      </c>
    </row>
    <row r="22" customFormat="false" ht="23.85" hidden="false" customHeight="false" outlineLevel="0" collapsed="false">
      <c r="A22" s="13" t="s">
        <v>182</v>
      </c>
      <c r="B22" s="13" t="s">
        <v>60</v>
      </c>
      <c r="C22" s="13" t="s">
        <v>61</v>
      </c>
      <c r="D22" s="13" t="s">
        <v>52</v>
      </c>
      <c r="E22" s="13" t="s">
        <v>150</v>
      </c>
      <c r="F22" s="13" t="s">
        <v>20</v>
      </c>
      <c r="G22" s="27" t="n">
        <v>687.5</v>
      </c>
      <c r="H22" s="37" t="s">
        <v>183</v>
      </c>
      <c r="I22" s="37" t="s">
        <v>152</v>
      </c>
      <c r="J22" s="9" t="n">
        <v>45884</v>
      </c>
    </row>
    <row r="23" customFormat="false" ht="23.85" hidden="false" customHeight="false" outlineLevel="0" collapsed="false">
      <c r="A23" s="13" t="s">
        <v>184</v>
      </c>
      <c r="B23" s="13" t="s">
        <v>63</v>
      </c>
      <c r="C23" s="13" t="s">
        <v>45</v>
      </c>
      <c r="D23" s="13" t="s">
        <v>52</v>
      </c>
      <c r="E23" s="13" t="s">
        <v>185</v>
      </c>
      <c r="F23" s="13" t="s">
        <v>21</v>
      </c>
      <c r="G23" s="27" t="n">
        <v>13679</v>
      </c>
      <c r="H23" s="37" t="s">
        <v>186</v>
      </c>
      <c r="I23" s="37" t="s">
        <v>187</v>
      </c>
      <c r="J23" s="9" t="n">
        <v>45884</v>
      </c>
    </row>
    <row r="24" customFormat="false" ht="23.85" hidden="false" customHeight="false" outlineLevel="0" collapsed="false">
      <c r="A24" s="13" t="s">
        <v>188</v>
      </c>
      <c r="B24" s="13" t="s">
        <v>70</v>
      </c>
      <c r="C24" s="13" t="s">
        <v>58</v>
      </c>
      <c r="D24" s="13" t="s">
        <v>72</v>
      </c>
      <c r="E24" s="13" t="s">
        <v>185</v>
      </c>
      <c r="F24" s="13" t="s">
        <v>21</v>
      </c>
      <c r="G24" s="27" t="n">
        <v>9057.5</v>
      </c>
      <c r="H24" s="37" t="s">
        <v>189</v>
      </c>
      <c r="I24" s="37" t="s">
        <v>187</v>
      </c>
      <c r="J24" s="9" t="n">
        <v>45884</v>
      </c>
    </row>
    <row r="25" customFormat="false" ht="23.85" hidden="false" customHeight="false" outlineLevel="0" collapsed="false">
      <c r="A25" s="13" t="s">
        <v>190</v>
      </c>
      <c r="B25" s="13" t="s">
        <v>73</v>
      </c>
      <c r="C25" s="13" t="s">
        <v>61</v>
      </c>
      <c r="D25" s="13" t="s">
        <v>75</v>
      </c>
      <c r="E25" s="13" t="s">
        <v>185</v>
      </c>
      <c r="F25" s="13" t="s">
        <v>21</v>
      </c>
      <c r="G25" s="27" t="n">
        <v>5631</v>
      </c>
      <c r="H25" s="37" t="s">
        <v>191</v>
      </c>
      <c r="I25" s="37" t="s">
        <v>187</v>
      </c>
      <c r="J25" s="9" t="n">
        <v>45884</v>
      </c>
    </row>
    <row r="26" customFormat="false" ht="23.85" hidden="false" customHeight="false" outlineLevel="0" collapsed="false">
      <c r="A26" s="13" t="s">
        <v>192</v>
      </c>
      <c r="B26" s="13" t="s">
        <v>83</v>
      </c>
      <c r="C26" s="13" t="s">
        <v>58</v>
      </c>
      <c r="D26" s="13" t="s">
        <v>52</v>
      </c>
      <c r="E26" s="13" t="s">
        <v>185</v>
      </c>
      <c r="F26" s="13" t="s">
        <v>21</v>
      </c>
      <c r="G26" s="27" t="n">
        <v>3979</v>
      </c>
      <c r="H26" s="37" t="s">
        <v>193</v>
      </c>
      <c r="I26" s="37" t="s">
        <v>187</v>
      </c>
      <c r="J26" s="9" t="n">
        <v>45884</v>
      </c>
    </row>
    <row r="27" customFormat="false" ht="23.85" hidden="false" customHeight="false" outlineLevel="0" collapsed="false">
      <c r="A27" s="13" t="s">
        <v>194</v>
      </c>
      <c r="B27" s="13" t="s">
        <v>49</v>
      </c>
      <c r="C27" s="13" t="s">
        <v>50</v>
      </c>
      <c r="D27" s="13" t="s">
        <v>52</v>
      </c>
      <c r="E27" s="13" t="s">
        <v>185</v>
      </c>
      <c r="F27" s="13" t="s">
        <v>21</v>
      </c>
      <c r="G27" s="27" t="n">
        <v>3759.5</v>
      </c>
      <c r="H27" s="37" t="s">
        <v>195</v>
      </c>
      <c r="I27" s="37" t="s">
        <v>187</v>
      </c>
      <c r="J27" s="9" t="n">
        <v>45884</v>
      </c>
    </row>
    <row r="28" customFormat="false" ht="23.85" hidden="false" customHeight="false" outlineLevel="0" collapsed="false">
      <c r="A28" s="13" t="s">
        <v>196</v>
      </c>
      <c r="B28" s="13" t="s">
        <v>60</v>
      </c>
      <c r="C28" s="13" t="s">
        <v>61</v>
      </c>
      <c r="D28" s="13" t="s">
        <v>52</v>
      </c>
      <c r="E28" s="13" t="s">
        <v>185</v>
      </c>
      <c r="F28" s="13" t="s">
        <v>21</v>
      </c>
      <c r="G28" s="27" t="n">
        <v>3712.5</v>
      </c>
      <c r="H28" s="37" t="s">
        <v>193</v>
      </c>
      <c r="I28" s="37" t="s">
        <v>187</v>
      </c>
      <c r="J28" s="9" t="n">
        <v>45884</v>
      </c>
    </row>
    <row r="29" customFormat="false" ht="23.85" hidden="false" customHeight="false" outlineLevel="0" collapsed="false">
      <c r="A29" s="13" t="s">
        <v>197</v>
      </c>
      <c r="B29" s="13" t="s">
        <v>44</v>
      </c>
      <c r="C29" s="13" t="s">
        <v>45</v>
      </c>
      <c r="D29" s="13" t="s">
        <v>48</v>
      </c>
      <c r="E29" s="13" t="s">
        <v>185</v>
      </c>
      <c r="F29" s="13" t="s">
        <v>21</v>
      </c>
      <c r="G29" s="27" t="n">
        <v>2936</v>
      </c>
      <c r="H29" s="37" t="s">
        <v>195</v>
      </c>
      <c r="I29" s="37" t="s">
        <v>187</v>
      </c>
      <c r="J29" s="9" t="n">
        <v>45884</v>
      </c>
    </row>
    <row r="30" customFormat="false" ht="23.85" hidden="false" customHeight="false" outlineLevel="0" collapsed="false">
      <c r="A30" s="13" t="s">
        <v>198</v>
      </c>
      <c r="B30" s="13" t="s">
        <v>87</v>
      </c>
      <c r="C30" s="13" t="s">
        <v>45</v>
      </c>
      <c r="D30" s="13" t="s">
        <v>72</v>
      </c>
      <c r="E30" s="13" t="s">
        <v>185</v>
      </c>
      <c r="F30" s="13" t="s">
        <v>21</v>
      </c>
      <c r="G30" s="27" t="n">
        <v>2744.5</v>
      </c>
      <c r="H30" s="37" t="s">
        <v>195</v>
      </c>
      <c r="I30" s="37" t="s">
        <v>187</v>
      </c>
      <c r="J30" s="9" t="n">
        <v>45884</v>
      </c>
    </row>
    <row r="31" customFormat="false" ht="23.85" hidden="false" customHeight="false" outlineLevel="0" collapsed="false">
      <c r="A31" s="13" t="s">
        <v>199</v>
      </c>
      <c r="B31" s="13" t="s">
        <v>76</v>
      </c>
      <c r="C31" s="13" t="s">
        <v>45</v>
      </c>
      <c r="D31" s="13" t="s">
        <v>78</v>
      </c>
      <c r="E31" s="13" t="s">
        <v>200</v>
      </c>
      <c r="F31" s="13" t="s">
        <v>21</v>
      </c>
      <c r="G31" s="27" t="n">
        <v>2590.5</v>
      </c>
      <c r="H31" s="37" t="s">
        <v>201</v>
      </c>
      <c r="I31" s="37" t="s">
        <v>202</v>
      </c>
      <c r="J31" s="9" t="n">
        <v>45884</v>
      </c>
    </row>
    <row r="32" customFormat="false" ht="23.85" hidden="false" customHeight="false" outlineLevel="0" collapsed="false">
      <c r="A32" s="13" t="s">
        <v>203</v>
      </c>
      <c r="B32" s="13" t="s">
        <v>85</v>
      </c>
      <c r="C32" s="13" t="s">
        <v>61</v>
      </c>
      <c r="D32" s="13" t="s">
        <v>52</v>
      </c>
      <c r="E32" s="13" t="s">
        <v>185</v>
      </c>
      <c r="F32" s="13" t="s">
        <v>21</v>
      </c>
      <c r="G32" s="27" t="n">
        <v>2108</v>
      </c>
      <c r="H32" s="37" t="s">
        <v>204</v>
      </c>
      <c r="I32" s="37" t="s">
        <v>187</v>
      </c>
      <c r="J32" s="9" t="n">
        <v>45884</v>
      </c>
    </row>
    <row r="33" customFormat="false" ht="23.85" hidden="false" customHeight="false" outlineLevel="0" collapsed="false">
      <c r="A33" s="13" t="s">
        <v>205</v>
      </c>
      <c r="B33" s="13" t="s">
        <v>79</v>
      </c>
      <c r="C33" s="13" t="s">
        <v>50</v>
      </c>
      <c r="D33" s="13" t="s">
        <v>52</v>
      </c>
      <c r="E33" s="13" t="s">
        <v>185</v>
      </c>
      <c r="F33" s="13" t="s">
        <v>21</v>
      </c>
      <c r="G33" s="27" t="n">
        <v>1963</v>
      </c>
      <c r="H33" s="37" t="s">
        <v>204</v>
      </c>
      <c r="I33" s="37" t="s">
        <v>187</v>
      </c>
      <c r="J33" s="9" t="n">
        <v>45884</v>
      </c>
    </row>
    <row r="34" customFormat="false" ht="23.85" hidden="false" customHeight="false" outlineLevel="0" collapsed="false">
      <c r="A34" s="13" t="s">
        <v>206</v>
      </c>
      <c r="B34" s="13" t="s">
        <v>81</v>
      </c>
      <c r="C34" s="13" t="s">
        <v>54</v>
      </c>
      <c r="D34" s="13" t="s">
        <v>78</v>
      </c>
      <c r="E34" s="13" t="s">
        <v>185</v>
      </c>
      <c r="F34" s="13" t="s">
        <v>21</v>
      </c>
      <c r="G34" s="27" t="n">
        <v>1925</v>
      </c>
      <c r="H34" s="37" t="s">
        <v>207</v>
      </c>
      <c r="I34" s="37" t="s">
        <v>187</v>
      </c>
      <c r="J34" s="9" t="n">
        <v>45884</v>
      </c>
    </row>
    <row r="35" customFormat="false" ht="23.85" hidden="false" customHeight="false" outlineLevel="0" collapsed="false">
      <c r="A35" s="13" t="s">
        <v>208</v>
      </c>
      <c r="B35" s="13" t="s">
        <v>57</v>
      </c>
      <c r="C35" s="13" t="s">
        <v>58</v>
      </c>
      <c r="D35" s="13" t="s">
        <v>48</v>
      </c>
      <c r="E35" s="13" t="s">
        <v>185</v>
      </c>
      <c r="F35" s="13" t="s">
        <v>21</v>
      </c>
      <c r="G35" s="27" t="n">
        <v>1849.5</v>
      </c>
      <c r="H35" s="37" t="s">
        <v>204</v>
      </c>
      <c r="I35" s="37" t="s">
        <v>187</v>
      </c>
      <c r="J35" s="9" t="n">
        <v>45884</v>
      </c>
    </row>
    <row r="36" customFormat="false" ht="23.85" hidden="false" customHeight="false" outlineLevel="0" collapsed="false">
      <c r="A36" s="13" t="s">
        <v>209</v>
      </c>
      <c r="B36" s="13" t="s">
        <v>85</v>
      </c>
      <c r="C36" s="13" t="s">
        <v>61</v>
      </c>
      <c r="D36" s="13" t="s">
        <v>52</v>
      </c>
      <c r="E36" s="13" t="s">
        <v>200</v>
      </c>
      <c r="F36" s="13" t="s">
        <v>21</v>
      </c>
      <c r="G36" s="27" t="n">
        <v>1717.5</v>
      </c>
      <c r="H36" s="37" t="s">
        <v>210</v>
      </c>
      <c r="I36" s="37" t="s">
        <v>202</v>
      </c>
      <c r="J36" s="9" t="n">
        <v>45884</v>
      </c>
    </row>
    <row r="37" customFormat="false" ht="23.85" hidden="false" customHeight="false" outlineLevel="0" collapsed="false">
      <c r="A37" s="13" t="s">
        <v>211</v>
      </c>
      <c r="B37" s="13" t="s">
        <v>87</v>
      </c>
      <c r="C37" s="13" t="s">
        <v>45</v>
      </c>
      <c r="D37" s="13" t="s">
        <v>72</v>
      </c>
      <c r="E37" s="13" t="s">
        <v>200</v>
      </c>
      <c r="F37" s="13" t="s">
        <v>21</v>
      </c>
      <c r="G37" s="27" t="n">
        <v>1564.5</v>
      </c>
      <c r="H37" s="37" t="s">
        <v>212</v>
      </c>
      <c r="I37" s="37" t="s">
        <v>202</v>
      </c>
      <c r="J37" s="9" t="n">
        <v>45884</v>
      </c>
    </row>
    <row r="38" customFormat="false" ht="23.85" hidden="false" customHeight="false" outlineLevel="0" collapsed="false">
      <c r="A38" s="13" t="s">
        <v>213</v>
      </c>
      <c r="B38" s="13" t="s">
        <v>63</v>
      </c>
      <c r="C38" s="13" t="s">
        <v>45</v>
      </c>
      <c r="D38" s="13" t="s">
        <v>52</v>
      </c>
      <c r="E38" s="13" t="s">
        <v>200</v>
      </c>
      <c r="F38" s="13" t="s">
        <v>21</v>
      </c>
      <c r="G38" s="27" t="n">
        <v>1520</v>
      </c>
      <c r="H38" s="37" t="s">
        <v>214</v>
      </c>
      <c r="I38" s="37" t="s">
        <v>202</v>
      </c>
      <c r="J38" s="9" t="n">
        <v>45884</v>
      </c>
    </row>
    <row r="39" customFormat="false" ht="23.85" hidden="false" customHeight="false" outlineLevel="0" collapsed="false">
      <c r="A39" s="13" t="s">
        <v>215</v>
      </c>
      <c r="B39" s="13" t="s">
        <v>89</v>
      </c>
      <c r="C39" s="13" t="s">
        <v>50</v>
      </c>
      <c r="D39" s="13" t="s">
        <v>75</v>
      </c>
      <c r="E39" s="13" t="s">
        <v>185</v>
      </c>
      <c r="F39" s="13" t="s">
        <v>21</v>
      </c>
      <c r="G39" s="27" t="n">
        <v>1240</v>
      </c>
      <c r="H39" s="37" t="s">
        <v>207</v>
      </c>
      <c r="I39" s="37" t="s">
        <v>187</v>
      </c>
      <c r="J39" s="9" t="n">
        <v>45884</v>
      </c>
    </row>
    <row r="40" customFormat="false" ht="23.85" hidden="false" customHeight="false" outlineLevel="0" collapsed="false">
      <c r="A40" s="13" t="s">
        <v>216</v>
      </c>
      <c r="B40" s="13" t="s">
        <v>89</v>
      </c>
      <c r="C40" s="13" t="s">
        <v>50</v>
      </c>
      <c r="D40" s="13" t="s">
        <v>75</v>
      </c>
      <c r="E40" s="13" t="s">
        <v>200</v>
      </c>
      <c r="F40" s="13" t="s">
        <v>21</v>
      </c>
      <c r="G40" s="27" t="n">
        <v>1238.5</v>
      </c>
      <c r="H40" s="37" t="s">
        <v>217</v>
      </c>
      <c r="I40" s="37" t="s">
        <v>202</v>
      </c>
      <c r="J40" s="9" t="n">
        <v>45884</v>
      </c>
    </row>
    <row r="41" customFormat="false" ht="23.85" hidden="false" customHeight="false" outlineLevel="0" collapsed="false">
      <c r="A41" s="13" t="s">
        <v>218</v>
      </c>
      <c r="B41" s="13" t="s">
        <v>44</v>
      </c>
      <c r="C41" s="13" t="s">
        <v>45</v>
      </c>
      <c r="D41" s="13" t="s">
        <v>48</v>
      </c>
      <c r="E41" s="13" t="s">
        <v>200</v>
      </c>
      <c r="F41" s="13" t="s">
        <v>21</v>
      </c>
      <c r="G41" s="27" t="n">
        <v>1206.5</v>
      </c>
      <c r="H41" s="37" t="s">
        <v>219</v>
      </c>
      <c r="I41" s="37" t="s">
        <v>202</v>
      </c>
      <c r="J41" s="9" t="n">
        <v>45884</v>
      </c>
    </row>
    <row r="42" customFormat="false" ht="23.85" hidden="false" customHeight="false" outlineLevel="0" collapsed="false">
      <c r="A42" s="13" t="s">
        <v>220</v>
      </c>
      <c r="B42" s="13" t="s">
        <v>57</v>
      </c>
      <c r="C42" s="13" t="s">
        <v>58</v>
      </c>
      <c r="D42" s="13" t="s">
        <v>48</v>
      </c>
      <c r="E42" s="13" t="s">
        <v>200</v>
      </c>
      <c r="F42" s="13" t="s">
        <v>21</v>
      </c>
      <c r="G42" s="27" t="n">
        <v>1032</v>
      </c>
      <c r="H42" s="37" t="s">
        <v>221</v>
      </c>
      <c r="I42" s="37" t="s">
        <v>202</v>
      </c>
      <c r="J42" s="9" t="n">
        <v>45884</v>
      </c>
    </row>
    <row r="43" customFormat="false" ht="23.85" hidden="false" customHeight="false" outlineLevel="0" collapsed="false">
      <c r="A43" s="13" t="s">
        <v>222</v>
      </c>
      <c r="B43" s="13" t="s">
        <v>73</v>
      </c>
      <c r="C43" s="13" t="s">
        <v>61</v>
      </c>
      <c r="D43" s="13" t="s">
        <v>75</v>
      </c>
      <c r="E43" s="13" t="s">
        <v>200</v>
      </c>
      <c r="F43" s="13" t="s">
        <v>21</v>
      </c>
      <c r="G43" s="27" t="n">
        <v>885.5</v>
      </c>
      <c r="H43" s="37" t="s">
        <v>223</v>
      </c>
      <c r="I43" s="37" t="s">
        <v>202</v>
      </c>
      <c r="J43" s="9" t="n">
        <v>45884</v>
      </c>
    </row>
    <row r="44" customFormat="false" ht="23.85" hidden="false" customHeight="false" outlineLevel="0" collapsed="false">
      <c r="A44" s="13" t="s">
        <v>224</v>
      </c>
      <c r="B44" s="13" t="s">
        <v>79</v>
      </c>
      <c r="C44" s="13" t="s">
        <v>50</v>
      </c>
      <c r="D44" s="13" t="s">
        <v>52</v>
      </c>
      <c r="E44" s="13" t="s">
        <v>200</v>
      </c>
      <c r="F44" s="13" t="s">
        <v>21</v>
      </c>
      <c r="G44" s="27" t="n">
        <v>880</v>
      </c>
      <c r="H44" s="37" t="s">
        <v>225</v>
      </c>
      <c r="I44" s="37" t="s">
        <v>202</v>
      </c>
      <c r="J44" s="9" t="n">
        <v>45884</v>
      </c>
    </row>
    <row r="45" customFormat="false" ht="23.85" hidden="false" customHeight="false" outlineLevel="0" collapsed="false">
      <c r="A45" s="13" t="s">
        <v>226</v>
      </c>
      <c r="B45" s="13" t="s">
        <v>49</v>
      </c>
      <c r="C45" s="13" t="s">
        <v>50</v>
      </c>
      <c r="D45" s="13" t="s">
        <v>52</v>
      </c>
      <c r="E45" s="13" t="s">
        <v>200</v>
      </c>
      <c r="F45" s="13" t="s">
        <v>21</v>
      </c>
      <c r="G45" s="27" t="n">
        <v>649</v>
      </c>
      <c r="H45" s="37" t="s">
        <v>227</v>
      </c>
      <c r="I45" s="37" t="s">
        <v>202</v>
      </c>
      <c r="J45" s="9" t="n">
        <v>45884</v>
      </c>
    </row>
    <row r="46" customFormat="false" ht="23.85" hidden="false" customHeight="false" outlineLevel="0" collapsed="false">
      <c r="A46" s="13" t="s">
        <v>228</v>
      </c>
      <c r="B46" s="13" t="s">
        <v>67</v>
      </c>
      <c r="C46" s="13" t="s">
        <v>54</v>
      </c>
      <c r="D46" s="13" t="s">
        <v>52</v>
      </c>
      <c r="E46" s="13" t="s">
        <v>200</v>
      </c>
      <c r="F46" s="13" t="s">
        <v>21</v>
      </c>
      <c r="G46" s="27" t="n">
        <v>595</v>
      </c>
      <c r="H46" s="37" t="s">
        <v>229</v>
      </c>
      <c r="I46" s="37" t="s">
        <v>202</v>
      </c>
      <c r="J46" s="9" t="n">
        <v>45884</v>
      </c>
    </row>
    <row r="47" customFormat="false" ht="23.85" hidden="false" customHeight="false" outlineLevel="0" collapsed="false">
      <c r="A47" s="13" t="s">
        <v>230</v>
      </c>
      <c r="B47" s="13" t="s">
        <v>67</v>
      </c>
      <c r="C47" s="13" t="s">
        <v>54</v>
      </c>
      <c r="D47" s="13" t="s">
        <v>52</v>
      </c>
      <c r="E47" s="13" t="s">
        <v>185</v>
      </c>
      <c r="F47" s="13" t="s">
        <v>21</v>
      </c>
      <c r="G47" s="27" t="n">
        <v>511.5</v>
      </c>
      <c r="H47" s="37" t="s">
        <v>207</v>
      </c>
      <c r="I47" s="37" t="s">
        <v>187</v>
      </c>
      <c r="J47" s="9" t="n">
        <v>45884</v>
      </c>
    </row>
    <row r="48" customFormat="false" ht="23.85" hidden="false" customHeight="false" outlineLevel="0" collapsed="false">
      <c r="A48" s="13" t="s">
        <v>231</v>
      </c>
      <c r="B48" s="13" t="s">
        <v>60</v>
      </c>
      <c r="C48" s="13" t="s">
        <v>61</v>
      </c>
      <c r="D48" s="13" t="s">
        <v>52</v>
      </c>
      <c r="E48" s="13" t="s">
        <v>200</v>
      </c>
      <c r="F48" s="13" t="s">
        <v>21</v>
      </c>
      <c r="G48" s="27" t="n">
        <v>440</v>
      </c>
      <c r="H48" s="37" t="s">
        <v>232</v>
      </c>
      <c r="I48" s="37" t="s">
        <v>202</v>
      </c>
      <c r="J48" s="9" t="n">
        <v>45884</v>
      </c>
    </row>
    <row r="49" customFormat="false" ht="23.85" hidden="false" customHeight="false" outlineLevel="0" collapsed="false">
      <c r="A49" s="13" t="s">
        <v>233</v>
      </c>
      <c r="B49" s="13" t="s">
        <v>70</v>
      </c>
      <c r="C49" s="13" t="s">
        <v>58</v>
      </c>
      <c r="D49" s="13" t="s">
        <v>72</v>
      </c>
      <c r="E49" s="13" t="s">
        <v>200</v>
      </c>
      <c r="F49" s="13" t="s">
        <v>21</v>
      </c>
      <c r="G49" s="27" t="n">
        <v>392</v>
      </c>
      <c r="H49" s="37" t="s">
        <v>234</v>
      </c>
      <c r="I49" s="37" t="s">
        <v>202</v>
      </c>
      <c r="J49" s="9" t="n">
        <v>45884</v>
      </c>
    </row>
    <row r="50" customFormat="false" ht="23.85" hidden="false" customHeight="false" outlineLevel="0" collapsed="false">
      <c r="A50" s="13" t="s">
        <v>235</v>
      </c>
      <c r="B50" s="13" t="s">
        <v>83</v>
      </c>
      <c r="C50" s="13" t="s">
        <v>58</v>
      </c>
      <c r="D50" s="13" t="s">
        <v>52</v>
      </c>
      <c r="E50" s="13" t="s">
        <v>200</v>
      </c>
      <c r="F50" s="13" t="s">
        <v>21</v>
      </c>
      <c r="G50" s="27" t="n">
        <v>344.5</v>
      </c>
      <c r="H50" s="37" t="s">
        <v>236</v>
      </c>
      <c r="I50" s="37" t="s">
        <v>202</v>
      </c>
      <c r="J50" s="9" t="n">
        <v>45884</v>
      </c>
    </row>
    <row r="51" customFormat="false" ht="23.85" hidden="false" customHeight="false" outlineLevel="0" collapsed="false">
      <c r="A51" s="13" t="s">
        <v>237</v>
      </c>
      <c r="B51" s="13" t="s">
        <v>73</v>
      </c>
      <c r="C51" s="13" t="s">
        <v>61</v>
      </c>
      <c r="D51" s="13" t="s">
        <v>75</v>
      </c>
      <c r="E51" s="13" t="s">
        <v>238</v>
      </c>
      <c r="F51" s="13" t="s">
        <v>22</v>
      </c>
      <c r="G51" s="27" t="n">
        <v>57669.14</v>
      </c>
      <c r="H51" s="37" t="s">
        <v>239</v>
      </c>
      <c r="I51" s="37" t="s">
        <v>240</v>
      </c>
      <c r="J51" s="9" t="n">
        <v>45884</v>
      </c>
    </row>
    <row r="52" customFormat="false" ht="23.85" hidden="false" customHeight="false" outlineLevel="0" collapsed="false">
      <c r="A52" s="13" t="s">
        <v>241</v>
      </c>
      <c r="B52" s="13" t="s">
        <v>60</v>
      </c>
      <c r="C52" s="13" t="s">
        <v>61</v>
      </c>
      <c r="D52" s="13" t="s">
        <v>52</v>
      </c>
      <c r="E52" s="13" t="s">
        <v>242</v>
      </c>
      <c r="F52" s="13" t="s">
        <v>22</v>
      </c>
      <c r="G52" s="27" t="n">
        <v>10008.5</v>
      </c>
      <c r="H52" s="37" t="s">
        <v>243</v>
      </c>
      <c r="I52" s="37" t="s">
        <v>244</v>
      </c>
      <c r="J52" s="9" t="n">
        <v>45884</v>
      </c>
    </row>
    <row r="53" customFormat="false" ht="23.85" hidden="false" customHeight="false" outlineLevel="0" collapsed="false">
      <c r="A53" s="13" t="s">
        <v>245</v>
      </c>
      <c r="B53" s="13" t="s">
        <v>70</v>
      </c>
      <c r="C53" s="13" t="s">
        <v>58</v>
      </c>
      <c r="D53" s="13" t="s">
        <v>72</v>
      </c>
      <c r="E53" s="13" t="s">
        <v>242</v>
      </c>
      <c r="F53" s="13" t="s">
        <v>22</v>
      </c>
      <c r="G53" s="27" t="n">
        <v>6411.5</v>
      </c>
      <c r="H53" s="37" t="s">
        <v>246</v>
      </c>
      <c r="I53" s="37" t="s">
        <v>244</v>
      </c>
      <c r="J53" s="9" t="n">
        <v>45884</v>
      </c>
    </row>
    <row r="54" customFormat="false" ht="23.85" hidden="false" customHeight="false" outlineLevel="0" collapsed="false">
      <c r="A54" s="13" t="s">
        <v>247</v>
      </c>
      <c r="B54" s="13" t="s">
        <v>76</v>
      </c>
      <c r="C54" s="13" t="s">
        <v>45</v>
      </c>
      <c r="D54" s="13" t="s">
        <v>78</v>
      </c>
      <c r="E54" s="13" t="s">
        <v>242</v>
      </c>
      <c r="F54" s="13" t="s">
        <v>22</v>
      </c>
      <c r="G54" s="27" t="n">
        <v>5629.5</v>
      </c>
      <c r="H54" s="37" t="s">
        <v>248</v>
      </c>
      <c r="I54" s="37" t="s">
        <v>244</v>
      </c>
      <c r="J54" s="9" t="n">
        <v>45884</v>
      </c>
    </row>
    <row r="55" customFormat="false" ht="23.85" hidden="false" customHeight="false" outlineLevel="0" collapsed="false">
      <c r="A55" s="13" t="s">
        <v>249</v>
      </c>
      <c r="B55" s="13" t="s">
        <v>73</v>
      </c>
      <c r="C55" s="13" t="s">
        <v>61</v>
      </c>
      <c r="D55" s="13" t="s">
        <v>75</v>
      </c>
      <c r="E55" s="13" t="s">
        <v>242</v>
      </c>
      <c r="F55" s="13" t="s">
        <v>22</v>
      </c>
      <c r="G55" s="27" t="n">
        <v>5454.5</v>
      </c>
      <c r="H55" s="37" t="s">
        <v>248</v>
      </c>
      <c r="I55" s="37" t="s">
        <v>244</v>
      </c>
      <c r="J55" s="9" t="n">
        <v>45884</v>
      </c>
    </row>
    <row r="56" customFormat="false" ht="23.85" hidden="false" customHeight="false" outlineLevel="0" collapsed="false">
      <c r="A56" s="13" t="s">
        <v>250</v>
      </c>
      <c r="B56" s="13" t="s">
        <v>53</v>
      </c>
      <c r="C56" s="13" t="s">
        <v>54</v>
      </c>
      <c r="D56" s="13" t="s">
        <v>48</v>
      </c>
      <c r="E56" s="13" t="s">
        <v>242</v>
      </c>
      <c r="F56" s="13" t="s">
        <v>22</v>
      </c>
      <c r="G56" s="27" t="n">
        <v>5246</v>
      </c>
      <c r="H56" s="37" t="s">
        <v>251</v>
      </c>
      <c r="I56" s="37" t="s">
        <v>244</v>
      </c>
      <c r="J56" s="9" t="n">
        <v>45884</v>
      </c>
    </row>
    <row r="57" customFormat="false" ht="23.85" hidden="false" customHeight="false" outlineLevel="0" collapsed="false">
      <c r="A57" s="13" t="s">
        <v>252</v>
      </c>
      <c r="B57" s="13" t="s">
        <v>87</v>
      </c>
      <c r="C57" s="13" t="s">
        <v>45</v>
      </c>
      <c r="D57" s="13" t="s">
        <v>72</v>
      </c>
      <c r="E57" s="13" t="s">
        <v>242</v>
      </c>
      <c r="F57" s="13" t="s">
        <v>22</v>
      </c>
      <c r="G57" s="27" t="n">
        <v>4620</v>
      </c>
      <c r="H57" s="37" t="s">
        <v>253</v>
      </c>
      <c r="I57" s="37" t="s">
        <v>244</v>
      </c>
      <c r="J57" s="9" t="n">
        <v>45884</v>
      </c>
    </row>
    <row r="58" customFormat="false" ht="23.85" hidden="false" customHeight="false" outlineLevel="0" collapsed="false">
      <c r="A58" s="13" t="s">
        <v>254</v>
      </c>
      <c r="B58" s="13" t="s">
        <v>57</v>
      </c>
      <c r="C58" s="13" t="s">
        <v>58</v>
      </c>
      <c r="D58" s="13" t="s">
        <v>48</v>
      </c>
      <c r="E58" s="13" t="s">
        <v>242</v>
      </c>
      <c r="F58" s="13" t="s">
        <v>22</v>
      </c>
      <c r="G58" s="27" t="n">
        <v>4432</v>
      </c>
      <c r="H58" s="37" t="s">
        <v>255</v>
      </c>
      <c r="I58" s="37" t="s">
        <v>244</v>
      </c>
      <c r="J58" s="9" t="n">
        <v>45884</v>
      </c>
    </row>
    <row r="59" customFormat="false" ht="23.85" hidden="false" customHeight="false" outlineLevel="0" collapsed="false">
      <c r="A59" s="13" t="s">
        <v>256</v>
      </c>
      <c r="B59" s="13" t="s">
        <v>44</v>
      </c>
      <c r="C59" s="13" t="s">
        <v>45</v>
      </c>
      <c r="D59" s="13" t="s">
        <v>48</v>
      </c>
      <c r="E59" s="13" t="s">
        <v>242</v>
      </c>
      <c r="F59" s="13" t="s">
        <v>22</v>
      </c>
      <c r="G59" s="27" t="n">
        <v>4319</v>
      </c>
      <c r="H59" s="37" t="s">
        <v>257</v>
      </c>
      <c r="I59" s="37" t="s">
        <v>244</v>
      </c>
      <c r="J59" s="9" t="n">
        <v>45884</v>
      </c>
    </row>
    <row r="60" customFormat="false" ht="23.85" hidden="false" customHeight="false" outlineLevel="0" collapsed="false">
      <c r="A60" s="13" t="s">
        <v>258</v>
      </c>
      <c r="B60" s="13" t="s">
        <v>49</v>
      </c>
      <c r="C60" s="13" t="s">
        <v>50</v>
      </c>
      <c r="D60" s="13" t="s">
        <v>52</v>
      </c>
      <c r="E60" s="13" t="s">
        <v>242</v>
      </c>
      <c r="F60" s="13" t="s">
        <v>22</v>
      </c>
      <c r="G60" s="27" t="n">
        <v>3780</v>
      </c>
      <c r="H60" s="37" t="s">
        <v>259</v>
      </c>
      <c r="I60" s="37" t="s">
        <v>244</v>
      </c>
      <c r="J60" s="9" t="n">
        <v>45884</v>
      </c>
    </row>
    <row r="61" customFormat="false" ht="23.85" hidden="false" customHeight="false" outlineLevel="0" collapsed="false">
      <c r="A61" s="13" t="s">
        <v>260</v>
      </c>
      <c r="B61" s="13" t="s">
        <v>63</v>
      </c>
      <c r="C61" s="13" t="s">
        <v>45</v>
      </c>
      <c r="D61" s="13" t="s">
        <v>52</v>
      </c>
      <c r="E61" s="13" t="s">
        <v>242</v>
      </c>
      <c r="F61" s="13" t="s">
        <v>22</v>
      </c>
      <c r="G61" s="27" t="n">
        <v>2778</v>
      </c>
      <c r="H61" s="37" t="s">
        <v>261</v>
      </c>
      <c r="I61" s="37" t="s">
        <v>244</v>
      </c>
      <c r="J61" s="9" t="n">
        <v>45884</v>
      </c>
    </row>
    <row r="62" customFormat="false" ht="23.85" hidden="false" customHeight="false" outlineLevel="0" collapsed="false">
      <c r="A62" s="13" t="s">
        <v>262</v>
      </c>
      <c r="B62" s="13" t="s">
        <v>85</v>
      </c>
      <c r="C62" s="13" t="s">
        <v>61</v>
      </c>
      <c r="D62" s="13" t="s">
        <v>52</v>
      </c>
      <c r="E62" s="13" t="s">
        <v>242</v>
      </c>
      <c r="F62" s="13" t="s">
        <v>22</v>
      </c>
      <c r="G62" s="27" t="n">
        <v>2093.5</v>
      </c>
      <c r="H62" s="37" t="s">
        <v>263</v>
      </c>
      <c r="I62" s="37" t="s">
        <v>244</v>
      </c>
      <c r="J62" s="9" t="n">
        <v>45884</v>
      </c>
    </row>
    <row r="63" customFormat="false" ht="23.85" hidden="false" customHeight="false" outlineLevel="0" collapsed="false">
      <c r="A63" s="13" t="s">
        <v>264</v>
      </c>
      <c r="B63" s="13" t="s">
        <v>79</v>
      </c>
      <c r="C63" s="13" t="s">
        <v>50</v>
      </c>
      <c r="D63" s="13" t="s">
        <v>52</v>
      </c>
      <c r="E63" s="13" t="s">
        <v>242</v>
      </c>
      <c r="F63" s="13" t="s">
        <v>22</v>
      </c>
      <c r="G63" s="27" t="n">
        <v>1314.5</v>
      </c>
      <c r="H63" s="37" t="s">
        <v>265</v>
      </c>
      <c r="I63" s="37" t="s">
        <v>244</v>
      </c>
      <c r="J63" s="9" t="n">
        <v>45884</v>
      </c>
    </row>
    <row r="64" customFormat="false" ht="15" hidden="false" customHeight="false" outlineLevel="0" collapsed="false">
      <c r="A64" s="13" t="s">
        <v>266</v>
      </c>
      <c r="B64" s="13" t="s">
        <v>91</v>
      </c>
      <c r="C64" s="13" t="s">
        <v>54</v>
      </c>
      <c r="D64" s="13" t="s">
        <v>78</v>
      </c>
      <c r="E64" s="13" t="s">
        <v>267</v>
      </c>
      <c r="F64" s="13" t="s">
        <v>22</v>
      </c>
      <c r="G64" s="27" t="n">
        <v>1204.12</v>
      </c>
      <c r="H64" s="37" t="s">
        <v>268</v>
      </c>
      <c r="I64" s="37" t="s">
        <v>269</v>
      </c>
      <c r="J64" s="9" t="n">
        <v>45884</v>
      </c>
    </row>
    <row r="65" customFormat="false" ht="23.85" hidden="false" customHeight="false" outlineLevel="0" collapsed="false">
      <c r="A65" s="13" t="s">
        <v>270</v>
      </c>
      <c r="B65" s="13" t="s">
        <v>83</v>
      </c>
      <c r="C65" s="13" t="s">
        <v>58</v>
      </c>
      <c r="D65" s="13" t="s">
        <v>52</v>
      </c>
      <c r="E65" s="13" t="s">
        <v>242</v>
      </c>
      <c r="F65" s="13" t="s">
        <v>22</v>
      </c>
      <c r="G65" s="27" t="n">
        <v>1045</v>
      </c>
      <c r="H65" s="37" t="s">
        <v>271</v>
      </c>
      <c r="I65" s="37" t="s">
        <v>244</v>
      </c>
      <c r="J65" s="9" t="n">
        <v>45884</v>
      </c>
    </row>
    <row r="66" customFormat="false" ht="23.85" hidden="false" customHeight="false" outlineLevel="0" collapsed="false">
      <c r="A66" s="13" t="s">
        <v>272</v>
      </c>
      <c r="B66" s="13" t="s">
        <v>67</v>
      </c>
      <c r="C66" s="13" t="s">
        <v>54</v>
      </c>
      <c r="D66" s="13" t="s">
        <v>52</v>
      </c>
      <c r="E66" s="13" t="s">
        <v>242</v>
      </c>
      <c r="F66" s="13" t="s">
        <v>22</v>
      </c>
      <c r="G66" s="27" t="n">
        <v>434</v>
      </c>
      <c r="H66" s="37" t="s">
        <v>273</v>
      </c>
      <c r="I66" s="37" t="s">
        <v>244</v>
      </c>
      <c r="J66" s="9" t="n">
        <v>45884</v>
      </c>
    </row>
    <row r="67" customFormat="false" ht="15" hidden="false" customHeight="false" outlineLevel="0" collapsed="false">
      <c r="A67" s="13" t="s">
        <v>274</v>
      </c>
      <c r="B67" s="13" t="s">
        <v>70</v>
      </c>
      <c r="C67" s="13" t="s">
        <v>58</v>
      </c>
      <c r="D67" s="13" t="s">
        <v>72</v>
      </c>
      <c r="E67" s="13" t="s">
        <v>267</v>
      </c>
      <c r="F67" s="13" t="s">
        <v>22</v>
      </c>
      <c r="G67" s="27" t="n">
        <v>409.06</v>
      </c>
      <c r="H67" s="37" t="s">
        <v>275</v>
      </c>
      <c r="I67" s="37" t="s">
        <v>269</v>
      </c>
      <c r="J67" s="9" t="n">
        <v>45884</v>
      </c>
    </row>
  </sheetData>
  <conditionalFormatting sqref="F4:F67">
    <cfRule type="cellIs" priority="2" operator="equal" aboveAverage="0" equalAverage="0" bottom="0" percent="0" rank="0" text="" dxfId="0">
      <formula>"High"</formula>
    </cfRule>
    <cfRule type="cellIs" priority="3" operator="equal" aboveAverage="0" equalAverage="0" bottom="0" percent="0" rank="0" text="" dxfId="1">
      <formula>"Medium"</formula>
    </cfRule>
    <cfRule type="cellIs" priority="4" operator="equal" aboveAverage="0" equalAverage="0" bottom="0" percent="0" rank="0" text="" dxfId="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2026-09-21T00:00:33Z</dcterms:created>
  <dc:creator>openpyxl</dc:creator>
  <dc:description/>
  <dc:language>en-US</dc:language>
  <cp:lastModifiedBy/>
  <dcterms:modified xsi:type="dcterms:W3CDTF">2026-09-21T00:00:36Z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